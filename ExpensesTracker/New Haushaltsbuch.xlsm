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Default Extension="bin" ContentType="application/vnd.openxmlformats-officedocument.spreadsheetml.printerSettings"/>
  <Override PartName="/xl/vbaProjectSignature.bin" ContentType="application/vnd.ms-office.vbaProjectSignature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DieseArbeitsmappe"/>
  <bookViews>
    <workbookView xWindow="0" yWindow="0" windowWidth="16380" windowHeight="8190" tabRatio="169" firstSheet="2" activeTab="3"/>
  </bookViews>
  <sheets>
    <sheet name="ExpenseCategories2" sheetId="30" r:id="rId1"/>
    <sheet name="ExpenseCategories" sheetId="18" r:id="rId2"/>
    <sheet name="Tabelle1" sheetId="21" r:id="rId3"/>
    <sheet name="Tabelle2" sheetId="19" r:id="rId4"/>
    <sheet name="09" sheetId="32" r:id="rId5"/>
    <sheet name="September" sheetId="12" r:id="rId6"/>
    <sheet name="Januar" sheetId="4" r:id="rId7"/>
    <sheet name="Configuration" sheetId="20" r:id="rId8"/>
    <sheet name="Gesamt" sheetId="1" r:id="rId9"/>
    <sheet name="Einnahmen" sheetId="2" r:id="rId10"/>
    <sheet name="AusgabenFix" sheetId="3" r:id="rId11"/>
    <sheet name="Februar" sheetId="5" r:id="rId12"/>
    <sheet name="März" sheetId="6" r:id="rId13"/>
    <sheet name="April" sheetId="7" r:id="rId14"/>
    <sheet name="Mai" sheetId="8" r:id="rId15"/>
    <sheet name="Juni" sheetId="9" r:id="rId16"/>
    <sheet name="Juli" sheetId="10" r:id="rId17"/>
    <sheet name="August" sheetId="11" r:id="rId18"/>
    <sheet name="Oktober" sheetId="13" r:id="rId19"/>
    <sheet name="November" sheetId="14" r:id="rId20"/>
    <sheet name="Dezember" sheetId="15" r:id="rId21"/>
    <sheet name="Finanzübersicht" sheetId="16" r:id="rId22"/>
    <sheet name="Konfiguration" sheetId="17" r:id="rId23"/>
  </sheets>
  <functionGroups/>
  <definedNames>
    <definedName name="_20101014_210654_2010_09" localSheetId="2">Tabelle1!$A$1:$E$29</definedName>
    <definedName name="_20101014_210654_expenseCategories" localSheetId="1">ExpenseCategories!$A$1:$D$9</definedName>
    <definedName name="ExterneDaten_1" localSheetId="4">'09'!#REF!</definedName>
    <definedName name="ExterneDaten_1" localSheetId="0">ExpenseCategories2!$A$1:$D$9</definedName>
    <definedName name="ExterneDaten_2" localSheetId="4">'09'!#REF!</definedName>
    <definedName name="ExterneDaten_3" localSheetId="4">'09'!#REF!</definedName>
    <definedName name="ExterneDaten_4" localSheetId="4">'09'!#REF!</definedName>
    <definedName name="ExterneDaten_5" localSheetId="4">'09'!#REF!</definedName>
    <definedName name="ExterneDaten_6" localSheetId="4">'09'!#REF!</definedName>
    <definedName name="ExterneDaten_7" localSheetId="4">'09'!#REF!</definedName>
    <definedName name="ExterneDaten_8" localSheetId="4">'09'!#REF!</definedName>
    <definedName name="ExterneDaten_9" localSheetId="4">'09'!$A$1:$E$29</definedName>
  </definedNames>
  <calcPr calcId="125725"/>
</workbook>
</file>

<file path=xl/calcChain.xml><?xml version="1.0" encoding="utf-8"?>
<calcChain xmlns="http://schemas.openxmlformats.org/spreadsheetml/2006/main">
  <c r="G23" i="19"/>
  <c r="C18"/>
  <c r="G5"/>
  <c r="C5"/>
  <c r="C33" s="1"/>
  <c r="I33"/>
  <c r="H33"/>
  <c r="G33"/>
  <c r="F33"/>
  <c r="E33"/>
  <c r="D33"/>
  <c r="B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G23" i="12"/>
  <c r="C18"/>
  <c r="G5"/>
  <c r="C5"/>
  <c r="C33" s="1"/>
  <c r="I33"/>
  <c r="H33"/>
  <c r="G33"/>
  <c r="F33"/>
  <c r="E33"/>
  <c r="D33"/>
  <c r="B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C32" i="21"/>
  <c r="O33" i="10"/>
  <c r="N33"/>
  <c r="M33"/>
  <c r="L33"/>
  <c r="K33"/>
  <c r="J33"/>
  <c r="I33"/>
  <c r="H33"/>
  <c r="G33"/>
  <c r="F33"/>
  <c r="E33"/>
  <c r="D33"/>
  <c r="C33"/>
  <c r="B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P2"/>
  <c r="O1"/>
  <c r="N1"/>
  <c r="M1"/>
  <c r="L1"/>
  <c r="K1"/>
  <c r="J1"/>
  <c r="I1"/>
  <c r="H1"/>
  <c r="G1"/>
  <c r="F1"/>
  <c r="E1"/>
  <c r="D1"/>
  <c r="C1"/>
  <c r="B1"/>
  <c r="B1" i="9"/>
  <c r="C1"/>
  <c r="D1"/>
  <c r="E1"/>
  <c r="F1"/>
  <c r="G1"/>
  <c r="H1"/>
  <c r="I1"/>
  <c r="J1"/>
  <c r="K1"/>
  <c r="L1"/>
  <c r="M1"/>
  <c r="N1"/>
  <c r="O1"/>
  <c r="P2"/>
  <c r="A3"/>
  <c r="P3"/>
  <c r="A4"/>
  <c r="P4"/>
  <c r="A5"/>
  <c r="P5"/>
  <c r="A6"/>
  <c r="P6"/>
  <c r="A7"/>
  <c r="P7"/>
  <c r="A8"/>
  <c r="P8"/>
  <c r="A9"/>
  <c r="P9"/>
  <c r="A10"/>
  <c r="P10"/>
  <c r="A11"/>
  <c r="P11"/>
  <c r="A12"/>
  <c r="P12"/>
  <c r="A13"/>
  <c r="P13"/>
  <c r="A14"/>
  <c r="P14"/>
  <c r="A15"/>
  <c r="P15"/>
  <c r="A16"/>
  <c r="P16"/>
  <c r="A17"/>
  <c r="P17"/>
  <c r="A18"/>
  <c r="P18"/>
  <c r="A19"/>
  <c r="P19"/>
  <c r="A20"/>
  <c r="P20"/>
  <c r="A21"/>
  <c r="P21"/>
  <c r="A22"/>
  <c r="P22"/>
  <c r="A23"/>
  <c r="P23"/>
  <c r="A24"/>
  <c r="P24"/>
  <c r="A25"/>
  <c r="P25"/>
  <c r="A26"/>
  <c r="P26"/>
  <c r="A27"/>
  <c r="P27"/>
  <c r="A28"/>
  <c r="P28"/>
  <c r="A29"/>
  <c r="P29"/>
  <c r="A30"/>
  <c r="P30"/>
  <c r="A31"/>
  <c r="P31"/>
  <c r="A32"/>
  <c r="P32"/>
  <c r="B33"/>
  <c r="C33"/>
  <c r="D33"/>
  <c r="E33"/>
  <c r="F33"/>
  <c r="G33"/>
  <c r="H33"/>
  <c r="I33"/>
  <c r="J33"/>
  <c r="K33"/>
  <c r="L33"/>
  <c r="M33"/>
  <c r="N33"/>
  <c r="O33"/>
  <c r="N5" i="2"/>
  <c r="N4"/>
  <c r="N3"/>
  <c r="N2"/>
  <c r="N6" s="1"/>
  <c r="O33" i="8"/>
  <c r="N33"/>
  <c r="M33"/>
  <c r="L33"/>
  <c r="K33"/>
  <c r="J33"/>
  <c r="I33"/>
  <c r="H33"/>
  <c r="G33"/>
  <c r="F33"/>
  <c r="E33"/>
  <c r="D33"/>
  <c r="C33"/>
  <c r="B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P2"/>
  <c r="O1"/>
  <c r="N1"/>
  <c r="M1"/>
  <c r="L1"/>
  <c r="K1"/>
  <c r="J1"/>
  <c r="I1"/>
  <c r="H1"/>
  <c r="G1"/>
  <c r="F1"/>
  <c r="E1"/>
  <c r="D1"/>
  <c r="C1"/>
  <c r="B1"/>
  <c r="M10" i="3"/>
  <c r="L10"/>
  <c r="K10"/>
  <c r="J10"/>
  <c r="I10"/>
  <c r="H10"/>
  <c r="G10"/>
  <c r="F10"/>
  <c r="E10"/>
  <c r="D10"/>
  <c r="C10"/>
  <c r="B10"/>
  <c r="O33" i="7"/>
  <c r="N33"/>
  <c r="M33"/>
  <c r="L33"/>
  <c r="K33"/>
  <c r="J33"/>
  <c r="I33"/>
  <c r="H33"/>
  <c r="G33"/>
  <c r="F33"/>
  <c r="E33"/>
  <c r="D33"/>
  <c r="C33"/>
  <c r="B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P2"/>
  <c r="O1"/>
  <c r="N1"/>
  <c r="M1"/>
  <c r="L1"/>
  <c r="K1"/>
  <c r="J1"/>
  <c r="I1"/>
  <c r="H1"/>
  <c r="G1"/>
  <c r="F1"/>
  <c r="E1"/>
  <c r="D1"/>
  <c r="C1"/>
  <c r="B1"/>
  <c r="O33" i="6"/>
  <c r="N33"/>
  <c r="M33"/>
  <c r="L33"/>
  <c r="K33"/>
  <c r="J33"/>
  <c r="I33"/>
  <c r="H33"/>
  <c r="G33"/>
  <c r="F33"/>
  <c r="E33"/>
  <c r="D33"/>
  <c r="C33"/>
  <c r="B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P2"/>
  <c r="O1"/>
  <c r="N1"/>
  <c r="M1"/>
  <c r="L1"/>
  <c r="K1"/>
  <c r="J1"/>
  <c r="I1"/>
  <c r="H1"/>
  <c r="G1"/>
  <c r="F1"/>
  <c r="E1"/>
  <c r="D1"/>
  <c r="C1"/>
  <c r="B1"/>
  <c r="A5" i="2"/>
  <c r="A4"/>
  <c r="A3"/>
  <c r="A2"/>
  <c r="O1" i="5"/>
  <c r="N1"/>
  <c r="M1"/>
  <c r="L1"/>
  <c r="K1"/>
  <c r="J1"/>
  <c r="I1"/>
  <c r="H1"/>
  <c r="G1"/>
  <c r="F1"/>
  <c r="E1"/>
  <c r="D1"/>
  <c r="C1"/>
  <c r="B1"/>
  <c r="O1" i="4"/>
  <c r="N1"/>
  <c r="M1"/>
  <c r="L1"/>
  <c r="K1"/>
  <c r="J1"/>
  <c r="I1"/>
  <c r="H1"/>
  <c r="G1"/>
  <c r="F1"/>
  <c r="E1"/>
  <c r="D1"/>
  <c r="C1"/>
  <c r="B1"/>
  <c r="A9" i="3"/>
  <c r="A8"/>
  <c r="A7"/>
  <c r="A6"/>
  <c r="A5"/>
  <c r="A4"/>
  <c r="A3"/>
  <c r="A2"/>
  <c r="A15" i="1"/>
  <c r="A14"/>
  <c r="A13"/>
  <c r="A12"/>
  <c r="A11"/>
  <c r="A10"/>
  <c r="A9"/>
  <c r="A8"/>
  <c r="A7"/>
  <c r="A6"/>
  <c r="A5"/>
  <c r="A4"/>
  <c r="A3"/>
  <c r="A2"/>
  <c r="O33" i="5"/>
  <c r="N33"/>
  <c r="M33"/>
  <c r="L33"/>
  <c r="K33"/>
  <c r="J33"/>
  <c r="I33"/>
  <c r="H33"/>
  <c r="G33"/>
  <c r="F33"/>
  <c r="E33"/>
  <c r="D33"/>
  <c r="C33"/>
  <c r="B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P2"/>
  <c r="M6" i="16"/>
  <c r="L6"/>
  <c r="K6"/>
  <c r="J6"/>
  <c r="I6"/>
  <c r="H6"/>
  <c r="G6"/>
  <c r="F6"/>
  <c r="E6"/>
  <c r="D6"/>
  <c r="C6"/>
  <c r="B6"/>
  <c r="O33" i="4"/>
  <c r="N33"/>
  <c r="M33"/>
  <c r="L33"/>
  <c r="K33"/>
  <c r="J33"/>
  <c r="I33"/>
  <c r="B9" i="1" s="1"/>
  <c r="H33" i="4"/>
  <c r="G33"/>
  <c r="F33"/>
  <c r="E33"/>
  <c r="D33"/>
  <c r="C33"/>
  <c r="B3" i="1" s="1"/>
  <c r="B33" i="4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P2"/>
  <c r="L6" i="2"/>
  <c r="K6"/>
  <c r="J6"/>
  <c r="I6"/>
  <c r="H6"/>
  <c r="G6"/>
  <c r="G23" i="1" s="1"/>
  <c r="F6" i="2"/>
  <c r="E6"/>
  <c r="D6"/>
  <c r="C6"/>
  <c r="C23" i="1" s="1"/>
  <c r="B6" i="2"/>
  <c r="M6"/>
  <c r="O33" i="15"/>
  <c r="N33"/>
  <c r="M33"/>
  <c r="L33"/>
  <c r="K33"/>
  <c r="J33"/>
  <c r="I33"/>
  <c r="H33"/>
  <c r="G33"/>
  <c r="F33"/>
  <c r="E33"/>
  <c r="D33"/>
  <c r="C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P2"/>
  <c r="P32" i="14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P2"/>
  <c r="O33"/>
  <c r="N33"/>
  <c r="M33"/>
  <c r="L33"/>
  <c r="J33"/>
  <c r="I33"/>
  <c r="H33"/>
  <c r="G33"/>
  <c r="F33"/>
  <c r="E33"/>
  <c r="D33"/>
  <c r="C33"/>
  <c r="B33"/>
  <c r="L2" i="1" s="1"/>
  <c r="K33" i="14"/>
  <c r="L11" i="1" s="1"/>
  <c r="A3" i="14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K23" i="1"/>
  <c r="L23"/>
  <c r="M23"/>
  <c r="C2"/>
  <c r="D2"/>
  <c r="E2"/>
  <c r="F2"/>
  <c r="G2"/>
  <c r="H2"/>
  <c r="I2"/>
  <c r="C3"/>
  <c r="D3"/>
  <c r="E3"/>
  <c r="F3"/>
  <c r="G3"/>
  <c r="H3"/>
  <c r="I3"/>
  <c r="L3"/>
  <c r="M3"/>
  <c r="C4"/>
  <c r="D4"/>
  <c r="E4"/>
  <c r="F4"/>
  <c r="G4"/>
  <c r="H4"/>
  <c r="I4"/>
  <c r="L4"/>
  <c r="M4"/>
  <c r="B5"/>
  <c r="C5"/>
  <c r="D5"/>
  <c r="E5"/>
  <c r="F5"/>
  <c r="G5"/>
  <c r="H5"/>
  <c r="I5"/>
  <c r="L5"/>
  <c r="M5"/>
  <c r="C6"/>
  <c r="D6"/>
  <c r="E6"/>
  <c r="F6"/>
  <c r="G6"/>
  <c r="H6"/>
  <c r="I6"/>
  <c r="L6"/>
  <c r="M6"/>
  <c r="C7"/>
  <c r="D7"/>
  <c r="E7"/>
  <c r="F7"/>
  <c r="G7"/>
  <c r="H7"/>
  <c r="I7"/>
  <c r="L7"/>
  <c r="M7"/>
  <c r="C8"/>
  <c r="D8"/>
  <c r="E8"/>
  <c r="F8"/>
  <c r="G8"/>
  <c r="H8"/>
  <c r="I8"/>
  <c r="L8"/>
  <c r="M8"/>
  <c r="C9"/>
  <c r="D9"/>
  <c r="E9"/>
  <c r="F9"/>
  <c r="G9"/>
  <c r="H9"/>
  <c r="I9"/>
  <c r="L9"/>
  <c r="M9"/>
  <c r="C10"/>
  <c r="D10"/>
  <c r="E10"/>
  <c r="F10"/>
  <c r="G10"/>
  <c r="H10"/>
  <c r="I10"/>
  <c r="L10"/>
  <c r="M10"/>
  <c r="C11"/>
  <c r="D11"/>
  <c r="E11"/>
  <c r="F11"/>
  <c r="G11"/>
  <c r="H11"/>
  <c r="I11"/>
  <c r="M11"/>
  <c r="C12"/>
  <c r="D12"/>
  <c r="E12"/>
  <c r="F12"/>
  <c r="G12"/>
  <c r="H12"/>
  <c r="I12"/>
  <c r="L12"/>
  <c r="M12"/>
  <c r="C13"/>
  <c r="D13"/>
  <c r="E13"/>
  <c r="F13"/>
  <c r="G13"/>
  <c r="H13"/>
  <c r="I13"/>
  <c r="L13"/>
  <c r="M13"/>
  <c r="C14"/>
  <c r="D14"/>
  <c r="E14"/>
  <c r="F14"/>
  <c r="G14"/>
  <c r="H14"/>
  <c r="H16" s="1"/>
  <c r="H24" s="1"/>
  <c r="I14"/>
  <c r="L14"/>
  <c r="M14"/>
  <c r="C15"/>
  <c r="D15"/>
  <c r="E15"/>
  <c r="F15"/>
  <c r="G15"/>
  <c r="H15"/>
  <c r="I15"/>
  <c r="L15"/>
  <c r="M15"/>
  <c r="B23"/>
  <c r="D23"/>
  <c r="E23"/>
  <c r="F23"/>
  <c r="H23"/>
  <c r="I23"/>
  <c r="J23"/>
  <c r="B25"/>
  <c r="C25"/>
  <c r="D25"/>
  <c r="E25"/>
  <c r="F25"/>
  <c r="G25"/>
  <c r="H25"/>
  <c r="I25"/>
  <c r="J25"/>
  <c r="K25"/>
  <c r="L25"/>
  <c r="M25"/>
  <c r="B2"/>
  <c r="B4"/>
  <c r="B6"/>
  <c r="B7"/>
  <c r="B8"/>
  <c r="B10"/>
  <c r="B11"/>
  <c r="B12"/>
  <c r="B13"/>
  <c r="B14"/>
  <c r="B15"/>
  <c r="K2"/>
  <c r="K3"/>
  <c r="K4"/>
  <c r="K5"/>
  <c r="K6"/>
  <c r="K7"/>
  <c r="K8"/>
  <c r="K9"/>
  <c r="K10"/>
  <c r="K11"/>
  <c r="K12"/>
  <c r="K13"/>
  <c r="K14"/>
  <c r="K15"/>
  <c r="J2"/>
  <c r="J3"/>
  <c r="J4"/>
  <c r="J5"/>
  <c r="J6"/>
  <c r="J7"/>
  <c r="J8"/>
  <c r="J9"/>
  <c r="J10"/>
  <c r="J11"/>
  <c r="J12"/>
  <c r="J13"/>
  <c r="J14"/>
  <c r="J15"/>
  <c r="J33" i="19" l="1"/>
  <c r="J33" i="12"/>
  <c r="I16" i="1"/>
  <c r="I24" s="1"/>
  <c r="P33" i="10"/>
  <c r="P33" i="9"/>
  <c r="F16" i="1"/>
  <c r="F24" s="1"/>
  <c r="P33" i="8"/>
  <c r="P33" i="7"/>
  <c r="P33" i="6"/>
  <c r="D16" i="1"/>
  <c r="D24" s="1"/>
  <c r="D26" s="1"/>
  <c r="P33" i="5"/>
  <c r="N23" i="1"/>
  <c r="N25"/>
  <c r="N15"/>
  <c r="N13"/>
  <c r="N11"/>
  <c r="N9"/>
  <c r="N7"/>
  <c r="N4"/>
  <c r="N14"/>
  <c r="N12"/>
  <c r="N10"/>
  <c r="N8"/>
  <c r="N6"/>
  <c r="N3"/>
  <c r="N5"/>
  <c r="I26"/>
  <c r="G16"/>
  <c r="G24" s="1"/>
  <c r="G26" s="1"/>
  <c r="E16"/>
  <c r="E24" s="1"/>
  <c r="E26" s="1"/>
  <c r="C16"/>
  <c r="C24" s="1"/>
  <c r="C26" s="1"/>
  <c r="P33" i="4"/>
  <c r="B33" i="15"/>
  <c r="L16" i="1"/>
  <c r="L24" s="1"/>
  <c r="L26" s="1"/>
  <c r="P33" i="14"/>
  <c r="H26" i="1"/>
  <c r="F26"/>
  <c r="J16"/>
  <c r="J24" s="1"/>
  <c r="J26" s="1"/>
  <c r="B16"/>
  <c r="K16"/>
  <c r="K24" s="1"/>
  <c r="K26" s="1"/>
  <c r="P33" i="15" l="1"/>
  <c r="M2" i="1"/>
  <c r="B24"/>
  <c r="M16" l="1"/>
  <c r="M24" s="1"/>
  <c r="M26" s="1"/>
  <c r="N2"/>
  <c r="B26"/>
  <c r="N26" l="1"/>
  <c r="N16"/>
  <c r="N24"/>
</calcChain>
</file>

<file path=xl/comments1.xml><?xml version="1.0" encoding="utf-8"?>
<comments xmlns="http://schemas.openxmlformats.org/spreadsheetml/2006/main">
  <authors>
    <author>Christof Simons</author>
  </authors>
  <commentList>
    <comment ref="B1" authorId="0">
      <text>
        <r>
          <rPr>
            <sz val="8"/>
            <color indexed="81"/>
            <rFont val="Tahoma"/>
            <family val="2"/>
          </rPr>
          <t>Default expense category for expenses of unknown type</t>
        </r>
      </text>
    </comment>
    <comment ref="C1" authorId="0">
      <text>
        <r>
          <rPr>
            <sz val="8"/>
            <color indexed="81"/>
            <rFont val="Tahoma"/>
            <family val="2"/>
          </rPr>
          <t>Lebensmittel, Getränke, ...</t>
        </r>
      </text>
    </comment>
    <comment ref="D1" authorId="0">
      <text>
        <r>
          <rPr>
            <sz val="8"/>
            <color indexed="81"/>
            <rFont val="Tahoma"/>
            <family val="2"/>
          </rPr>
          <t>Benzin, Fahrkarten, ...</t>
        </r>
      </text>
    </comment>
    <comment ref="E1" authorId="0">
      <text>
        <r>
          <rPr>
            <sz val="8"/>
            <color indexed="81"/>
            <rFont val="Tahoma"/>
            <family val="2"/>
          </rPr>
          <t>Restaurant, Kantine, ...</t>
        </r>
      </text>
    </comment>
    <comment ref="F1" authorId="0">
      <text>
        <r>
          <rPr>
            <sz val="8"/>
            <color indexed="81"/>
            <rFont val="Tahoma"/>
            <family val="2"/>
          </rPr>
          <t>Größere Anschaffungen</t>
        </r>
      </text>
    </comment>
    <comment ref="G1" authorId="0">
      <text>
        <r>
          <rPr>
            <sz val="8"/>
            <color indexed="81"/>
            <rFont val="Tahoma"/>
            <family val="2"/>
          </rPr>
          <t>Kneipe, Kino, ...</t>
        </r>
      </text>
    </comment>
    <comment ref="H1" authorId="0">
      <text>
        <r>
          <rPr>
            <sz val="8"/>
            <color indexed="81"/>
            <rFont val="Tahoma"/>
            <family val="2"/>
          </rPr>
          <t>Arznei, Arztbesuch, ...</t>
        </r>
      </text>
    </comment>
    <comment ref="I1" authorId="0">
      <text>
        <r>
          <rPr>
            <sz val="8"/>
            <color indexed="81"/>
            <rFont val="Tahoma"/>
            <family val="2"/>
          </rPr>
          <t>Hygieneartikel, Friseur, ...</t>
        </r>
      </text>
    </comment>
    <comment ref="G2" authorId="0">
      <text>
        <r>
          <rPr>
            <sz val="8"/>
            <color indexed="81"/>
            <rFont val="Tahoma"/>
            <family val="2"/>
          </rPr>
          <t>Geschenk Yannick</t>
        </r>
      </text>
    </comment>
    <comment ref="G5" authorId="0">
      <text>
        <r>
          <rPr>
            <sz val="8"/>
            <color indexed="81"/>
            <rFont val="Tahoma"/>
            <family val="2"/>
          </rPr>
          <t>9 Stuff; 40 Stuff</t>
        </r>
      </text>
    </comment>
    <comment ref="H9" authorId="0">
      <text>
        <r>
          <rPr>
            <sz val="8"/>
            <color indexed="81"/>
            <rFont val="Tahoma"/>
            <family val="2"/>
          </rPr>
          <t>Lippensalbe</t>
        </r>
      </text>
    </comment>
    <comment ref="C14" authorId="0">
      <text>
        <r>
          <rPr>
            <sz val="8"/>
            <color indexed="81"/>
            <rFont val="Tahoma"/>
            <family val="2"/>
          </rPr>
          <t>Honk</t>
        </r>
      </text>
    </comment>
    <comment ref="F14" authorId="0">
      <text>
        <r>
          <rPr>
            <sz val="8"/>
            <color indexed="81"/>
            <rFont val="Tahoma"/>
            <family val="2"/>
          </rPr>
          <t xml:space="preserve">Bettlaken </t>
        </r>
      </text>
    </comment>
    <comment ref="I17" authorId="0">
      <text>
        <r>
          <rPr>
            <sz val="8"/>
            <color indexed="81"/>
            <rFont val="Tahoma"/>
            <family val="2"/>
          </rPr>
          <t xml:space="preserve">Friseur </t>
        </r>
      </text>
    </comment>
    <comment ref="C18" authorId="0">
      <text>
        <r>
          <rPr>
            <sz val="8"/>
            <color indexed="81"/>
            <rFont val="Tahoma"/>
            <family val="2"/>
          </rPr>
          <t xml:space="preserve">Real </t>
        </r>
      </text>
    </comment>
    <comment ref="H21" authorId="0">
      <text>
        <r>
          <rPr>
            <sz val="8"/>
            <color indexed="81"/>
            <rFont val="Tahoma"/>
            <family val="2"/>
          </rPr>
          <t>Apotheke</t>
        </r>
      </text>
    </comment>
  </commentList>
</comments>
</file>

<file path=xl/comments2.xml><?xml version="1.0" encoding="utf-8"?>
<comments xmlns="http://schemas.openxmlformats.org/spreadsheetml/2006/main">
  <authors>
    <author>Christof Simons</author>
  </authors>
  <commentList>
    <comment ref="B1" authorId="0">
      <text>
        <r>
          <rPr>
            <sz val="8"/>
            <color indexed="81"/>
            <rFont val="Tahoma"/>
            <family val="2"/>
          </rPr>
          <t>Default expense category for expenses of unknown type</t>
        </r>
      </text>
    </comment>
    <comment ref="C1" authorId="0">
      <text>
        <r>
          <rPr>
            <sz val="8"/>
            <color indexed="81"/>
            <rFont val="Tahoma"/>
            <family val="2"/>
          </rPr>
          <t>Lebensmittel, Getränke, ...</t>
        </r>
      </text>
    </comment>
    <comment ref="D1" authorId="0">
      <text>
        <r>
          <rPr>
            <sz val="8"/>
            <color indexed="81"/>
            <rFont val="Tahoma"/>
            <family val="2"/>
          </rPr>
          <t>Benzin, Fahrkarten, ...</t>
        </r>
      </text>
    </comment>
    <comment ref="E1" authorId="0">
      <text>
        <r>
          <rPr>
            <sz val="8"/>
            <color indexed="81"/>
            <rFont val="Tahoma"/>
            <family val="2"/>
          </rPr>
          <t>Restaurant, Kantine, ...</t>
        </r>
      </text>
    </comment>
    <comment ref="F1" authorId="0">
      <text>
        <r>
          <rPr>
            <sz val="8"/>
            <color indexed="81"/>
            <rFont val="Tahoma"/>
            <family val="2"/>
          </rPr>
          <t>Größere Anschaffungen</t>
        </r>
      </text>
    </comment>
    <comment ref="G1" authorId="0">
      <text>
        <r>
          <rPr>
            <sz val="8"/>
            <color indexed="81"/>
            <rFont val="Tahoma"/>
            <family val="2"/>
          </rPr>
          <t>Kneipe, Kino, ...</t>
        </r>
      </text>
    </comment>
    <comment ref="H1" authorId="0">
      <text>
        <r>
          <rPr>
            <sz val="8"/>
            <color indexed="81"/>
            <rFont val="Tahoma"/>
            <family val="2"/>
          </rPr>
          <t>Arznei, Arztbesuch, ...</t>
        </r>
      </text>
    </comment>
    <comment ref="I1" authorId="0">
      <text>
        <r>
          <rPr>
            <sz val="8"/>
            <color indexed="81"/>
            <rFont val="Tahoma"/>
            <family val="2"/>
          </rPr>
          <t>Hygieneartikel, Friseur, ...</t>
        </r>
      </text>
    </comment>
    <comment ref="G2" authorId="0">
      <text>
        <r>
          <rPr>
            <sz val="8"/>
            <color indexed="81"/>
            <rFont val="Tahoma"/>
            <family val="2"/>
          </rPr>
          <t>Geschenk Yannick</t>
        </r>
      </text>
    </comment>
    <comment ref="H9" authorId="0">
      <text>
        <r>
          <rPr>
            <sz val="8"/>
            <color indexed="81"/>
            <rFont val="Tahoma"/>
            <family val="2"/>
          </rPr>
          <t>Lippensalbe</t>
        </r>
      </text>
    </comment>
    <comment ref="F14" authorId="0">
      <text>
        <r>
          <rPr>
            <sz val="8"/>
            <color indexed="81"/>
            <rFont val="Tahoma"/>
            <family val="2"/>
          </rPr>
          <t xml:space="preserve">Bettlaken </t>
        </r>
      </text>
    </comment>
    <comment ref="I17" authorId="0">
      <text>
        <r>
          <rPr>
            <sz val="8"/>
            <color indexed="81"/>
            <rFont val="Tahoma"/>
            <family val="2"/>
          </rPr>
          <t xml:space="preserve">Friseur </t>
        </r>
      </text>
    </comment>
    <comment ref="C18" authorId="0">
      <text>
        <r>
          <rPr>
            <sz val="8"/>
            <color indexed="81"/>
            <rFont val="Tahoma"/>
            <family val="2"/>
          </rPr>
          <t xml:space="preserve">Real </t>
        </r>
      </text>
    </comment>
    <comment ref="H21" authorId="0">
      <text>
        <r>
          <rPr>
            <sz val="8"/>
            <color indexed="81"/>
            <rFont val="Tahoma"/>
            <family val="2"/>
          </rPr>
          <t>Apotheke</t>
        </r>
      </text>
    </comment>
  </commentList>
</comments>
</file>

<file path=xl/connections.xml><?xml version="1.0" encoding="utf-8"?>
<connections xmlns="http://schemas.openxmlformats.org/spreadsheetml/2006/main">
  <connection id="1" name="20101014_210654_2010-09" type="6" refreshedVersion="3" background="1" saveData="1">
    <textPr codePage="850" sourceFile="C:\Dokumente und Einstellungen\chris\Desktop\expenses\20101014_210654_2010-09.csv" decimal="," thousands="." comma="1">
      <textFields count="5">
        <textField/>
        <textField/>
        <textField/>
        <textField/>
        <textField/>
      </textFields>
    </textPr>
  </connection>
  <connection id="2" name="20101014_210654_2010-091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3" name="20101014_210654_2010-092" type="6" refreshedVersion="3" background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4" name="20101014_210654_2010-093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5" name="20101014_210654_2010-094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6" name="20101014_210654_2010-095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7" name="20101014_210654_2010-096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8" name="20101014_210654_2010-097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9" name="20101014_210654_2010-098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10" name="20101014_210654_2010-099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11" name="20101014_210654_expenseCategories" type="6" refreshedVersion="3" background="1" saveData="1">
    <textPr sourceFile="C:\Dokumente und Einstellungen\chris\Desktop\expenses\20101014_210654_expenseCategories.csv" decimal="," thousands="." comma="1">
      <textFields count="4">
        <textField/>
        <textField type="text"/>
        <textField type="text"/>
        <textField/>
      </textFields>
    </textPr>
  </connection>
  <connection id="12" name="20101014_210654_expenseCategories1" type="6" refreshedVersion="3" background="1" saveData="1">
    <textPr prompt="0" sourceFile="C:\Dokumente und Einstellungen\chris\Desktop\expenses\20101014_210654_expenseCategories.csv" decimal="," thousands="." comma="1">
      <textFields count="4"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<sst xmlns="http://schemas.openxmlformats.org/spreadsheetml/2006/main" count="476" uniqueCount="158">
  <si>
    <t>Januar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</si>
  <si>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</si>
  <si>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</si>
  <si>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</si>
  <si>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</si>
  <si>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</si>
  <si>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</si>
  <si>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</si>
  <si>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</si>
  <si>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</si>
  <si>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</si>
  <si>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</si>
  <si>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Lebensmittel</t>
  </si>
  <si>
    <t>Hygiene</t>
  </si>
  <si>
    <t>Kleidung</t>
  </si>
  <si>
    <t>Telefon</t>
  </si>
  <si>
    <t>Essen</t>
  </si>
  <si>
    <t>Bücher</t>
  </si>
  <si>
    <t>Auto</t>
  </si>
  <si>
    <t>Benzin</t>
  </si>
  <si>
    <t>Haustiere</t>
  </si>
  <si>
    <t>Freizeit</t>
  </si>
  <si>
    <t>Beruf</t>
  </si>
  <si>
    <t>Anschaffungen</t>
  </si>
  <si>
    <t>Sonstiges</t>
  </si>
  <si>
    <t>Miete</t>
  </si>
  <si>
    <t>Strom</t>
  </si>
  <si>
    <t>Fernsehen</t>
  </si>
  <si>
    <t>Hausratversicherung</t>
  </si>
  <si>
    <t>KFZ-Steuer</t>
  </si>
  <si>
    <t>KFZ-Versicherung</t>
  </si>
  <si>
    <t>Riester</t>
  </si>
  <si>
    <t>Gesamt</t>
  </si>
  <si>
    <t>Einnahmen</t>
  </si>
  <si>
    <t>Ausgaben var</t>
  </si>
  <si>
    <t>Ausgaben fix</t>
  </si>
  <si>
    <t>AusgabenFix</t>
  </si>
  <si>
    <t>Lohn</t>
  </si>
  <si>
    <t>Zinsen</t>
  </si>
  <si>
    <t>Steuerrückerstattung</t>
  </si>
  <si>
    <t>Einnahmen gesamt</t>
  </si>
  <si>
    <t>Fixe Ausgaben</t>
  </si>
  <si>
    <t>Fixe Ausgaben gesamt</t>
  </si>
  <si>
    <t>Ausgaben</t>
  </si>
  <si>
    <t>Bemerkungen</t>
  </si>
  <si>
    <t>Ausgaben gesamt</t>
  </si>
  <si>
    <t>Konto</t>
  </si>
  <si>
    <t>DKB</t>
  </si>
  <si>
    <t>DKB VISA</t>
  </si>
  <si>
    <t>Sparkasse</t>
  </si>
  <si>
    <t>Ing DiBa</t>
  </si>
  <si>
    <t>Finanzen</t>
  </si>
  <si>
    <t>Arzt</t>
  </si>
  <si>
    <t>Anfang des Monats</t>
  </si>
  <si>
    <t>22. des Monats</t>
  </si>
  <si>
    <t>_id</t>
  </si>
  <si>
    <t>name</t>
  </si>
  <si>
    <t>description</t>
  </si>
  <si>
    <t>deleted</t>
  </si>
  <si>
    <t>Unknown</t>
  </si>
  <si>
    <t>Default expense category for expenses of unknown type</t>
  </si>
  <si>
    <t>FALSE</t>
  </si>
  <si>
    <t>Verkehr</t>
  </si>
  <si>
    <t>Benzin, Fahrkarten, ...</t>
  </si>
  <si>
    <t>Restaurant, Kantine, ...</t>
  </si>
  <si>
    <t>Anschaffung</t>
  </si>
  <si>
    <t>Kneipe, Kino, ...</t>
  </si>
  <si>
    <t>Gesundheit</t>
  </si>
  <si>
    <t>Arznei, Arztbesuch, ...</t>
  </si>
  <si>
    <t xml:space="preserve">Hygiene </t>
  </si>
  <si>
    <t>Hygieneartikel, Friseur, ...</t>
  </si>
  <si>
    <t>Lebensmittel, Getränke, ...</t>
  </si>
  <si>
    <t>Größere Anschaffungen</t>
  </si>
  <si>
    <t>Expenses</t>
  </si>
  <si>
    <t>Key</t>
  </si>
  <si>
    <t>Value</t>
  </si>
  <si>
    <t>Total</t>
  </si>
  <si>
    <t>HeaderRow</t>
  </si>
  <si>
    <t>ExpensesBackground</t>
  </si>
  <si>
    <t>expenseDate</t>
  </si>
  <si>
    <t>amount</t>
  </si>
  <si>
    <t>details</t>
  </si>
  <si>
    <t>expenseCategoryId</t>
  </si>
  <si>
    <t>Geschenk Yannick</t>
  </si>
  <si>
    <t xml:space="preserve">Bettlaken </t>
  </si>
  <si>
    <t>Lippensalbe</t>
  </si>
  <si>
    <t xml:space="preserve">Friseur </t>
  </si>
  <si>
    <t xml:space="preserve">Real </t>
  </si>
  <si>
    <t>Apotheke</t>
  </si>
  <si>
    <t>Honk</t>
  </si>
  <si>
    <t>9 Stuff</t>
  </si>
  <si>
    <t>40 Stuff</t>
  </si>
  <si>
    <t>January</t>
  </si>
  <si>
    <t>February</t>
  </si>
  <si>
    <t>March</t>
  </si>
  <si>
    <t>May</t>
  </si>
  <si>
    <t>June</t>
  </si>
  <si>
    <t>July</t>
  </si>
  <si>
    <t>October</t>
  </si>
  <si>
    <t>December</t>
  </si>
  <si>
    <t>1</t>
  </si>
  <si>
    <t>2</t>
  </si>
  <si>
    <t>Lebensmittel, GetrÃ¤nke, ...</t>
  </si>
  <si>
    <t>3</t>
  </si>
  <si>
    <t>4</t>
  </si>
  <si>
    <t>5</t>
  </si>
  <si>
    <t>GrÃ¶ÃŸere Anschaffungen</t>
  </si>
  <si>
    <t>6</t>
  </si>
  <si>
    <t>7</t>
  </si>
  <si>
    <t>8</t>
  </si>
  <si>
    <t>ImportCategoriesMsg</t>
  </si>
  <si>
    <t>Select the expense categories file</t>
  </si>
  <si>
    <t>ImportExpensesMsg</t>
  </si>
  <si>
    <t>Select the expenses file</t>
  </si>
  <si>
    <t>UpdateExistingExpensesMsg</t>
  </si>
  <si>
    <t>Expenses for this month exist. Do you want to update them?</t>
  </si>
  <si>
    <t>Imported expense categories exist. Do you want to update them?</t>
  </si>
  <si>
    <t>UpdateExistingCategoriesMsg</t>
  </si>
  <si>
    <t>2010-09-01</t>
  </si>
  <si>
    <t>47</t>
  </si>
  <si>
    <t>2010-09-03</t>
  </si>
  <si>
    <t>2010-09-04</t>
  </si>
  <si>
    <t>9</t>
  </si>
  <si>
    <t>13</t>
  </si>
  <si>
    <t>11</t>
  </si>
  <si>
    <t>40</t>
  </si>
  <si>
    <t>2010-09-05</t>
  </si>
  <si>
    <t>2010-09-06</t>
  </si>
  <si>
    <t>10</t>
  </si>
  <si>
    <t>2010-09-11</t>
  </si>
  <si>
    <t>100</t>
  </si>
  <si>
    <t>2010-09-13</t>
  </si>
  <si>
    <t>20</t>
  </si>
  <si>
    <t>12</t>
  </si>
  <si>
    <t>2010-09-08</t>
  </si>
  <si>
    <t>14</t>
  </si>
  <si>
    <t>2010-09-14</t>
  </si>
  <si>
    <t>15</t>
  </si>
  <si>
    <t>2010-09-16</t>
  </si>
  <si>
    <t>16</t>
  </si>
  <si>
    <t>17</t>
  </si>
  <si>
    <t>2010-09-17</t>
  </si>
  <si>
    <t>18</t>
  </si>
  <si>
    <t>19</t>
  </si>
  <si>
    <t>2010-09-18</t>
  </si>
  <si>
    <t>25</t>
  </si>
  <si>
    <t>21</t>
  </si>
  <si>
    <t>2010-09-21</t>
  </si>
  <si>
    <t>22</t>
  </si>
  <si>
    <t>2010-09-20</t>
  </si>
  <si>
    <t>26</t>
  </si>
  <si>
    <t>23</t>
  </si>
  <si>
    <t>2010-09-22</t>
  </si>
  <si>
    <t>24</t>
  </si>
  <si>
    <t>2010-09-24</t>
  </si>
  <si>
    <t>27</t>
  </si>
  <si>
    <t>28</t>
  </si>
  <si>
    <t>2010-09-30</t>
  </si>
</sst>
</file>

<file path=xl/styles.xml><?xml version="1.0" encoding="utf-8"?>
<styleSheet xmlns="http://schemas.openxmlformats.org/spreadsheetml/2006/main">
  <fonts count="7">
    <font>
      <sz val="10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10"/>
      <color theme="4" tint="-0.249977111117893"/>
      <name val="Arial"/>
      <family val="2"/>
    </font>
    <font>
      <b/>
      <sz val="10"/>
      <color theme="3" tint="0.39997558519241921"/>
      <name val="Arial"/>
      <family val="2"/>
    </font>
    <font>
      <sz val="8"/>
      <color indexed="81"/>
      <name val="Tahoma"/>
      <family val="2"/>
    </font>
  </fonts>
  <fills count="61">
    <fill>
      <patternFill patternType="none"/>
    </fill>
    <fill>
      <patternFill patternType="gray125"/>
    </fill>
    <fill>
      <patternFill patternType="solid">
        <fgColor indexed="49"/>
        <bgColor indexed="57"/>
      </patternFill>
    </fill>
    <fill>
      <patternFill patternType="solid">
        <fgColor indexed="29"/>
        <bgColor indexed="45"/>
      </patternFill>
    </fill>
    <fill>
      <patternFill patternType="solid">
        <fgColor indexed="45"/>
        <bgColor indexed="29"/>
      </patternFill>
    </fill>
    <fill>
      <patternFill patternType="solid">
        <fgColor indexed="2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85">
    <xf numFmtId="0" fontId="0" fillId="0" borderId="0" xfId="0"/>
    <xf numFmtId="0" fontId="1" fillId="0" borderId="0" xfId="0" applyFont="1"/>
    <xf numFmtId="0" fontId="0" fillId="0" borderId="0" xfId="0" applyFont="1"/>
    <xf numFmtId="0" fontId="2" fillId="0" borderId="0" xfId="0" applyFont="1"/>
    <xf numFmtId="0" fontId="2" fillId="2" borderId="0" xfId="0" applyFont="1" applyFill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0" fillId="0" borderId="0" xfId="0" applyFill="1"/>
    <xf numFmtId="49" fontId="0" fillId="0" borderId="0" xfId="0" applyNumberFormat="1" applyAlignment="1">
      <alignment wrapText="1"/>
    </xf>
    <xf numFmtId="49" fontId="2" fillId="4" borderId="0" xfId="0" applyNumberFormat="1" applyFont="1" applyFill="1" applyAlignment="1">
      <alignment wrapText="1"/>
    </xf>
    <xf numFmtId="49" fontId="2" fillId="0" borderId="0" xfId="0" applyNumberFormat="1" applyFont="1" applyAlignment="1">
      <alignment wrapText="1"/>
    </xf>
    <xf numFmtId="0" fontId="4" fillId="0" borderId="0" xfId="0" applyFont="1" applyAlignment="1">
      <alignment horizontal="left"/>
    </xf>
    <xf numFmtId="0" fontId="4" fillId="0" borderId="0" xfId="1" applyFont="1" applyAlignment="1" applyProtection="1">
      <alignment horizontal="left"/>
    </xf>
    <xf numFmtId="0" fontId="4" fillId="0" borderId="0" xfId="0" applyFont="1"/>
    <xf numFmtId="0" fontId="5" fillId="0" borderId="0" xfId="0" applyFont="1"/>
    <xf numFmtId="0" fontId="5" fillId="0" borderId="0" xfId="1" applyFont="1" applyAlignment="1" applyProtection="1"/>
    <xf numFmtId="49" fontId="2" fillId="4" borderId="0" xfId="0" applyNumberFormat="1" applyFont="1" applyFill="1" applyAlignment="1">
      <alignment horizontal="right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0" fontId="2" fillId="17" borderId="0" xfId="0" applyFont="1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24" borderId="0" xfId="0" applyFill="1"/>
    <xf numFmtId="0" fontId="0" fillId="5" borderId="0" xfId="0" applyFill="1"/>
    <xf numFmtId="0" fontId="0" fillId="25" borderId="0" xfId="0" applyFill="1"/>
    <xf numFmtId="0" fontId="0" fillId="6" borderId="0" xfId="0" applyFill="1"/>
    <xf numFmtId="0" fontId="0" fillId="7" borderId="0" xfId="0" applyFill="1"/>
    <xf numFmtId="0" fontId="0" fillId="26" borderId="0" xfId="0" applyFill="1"/>
    <xf numFmtId="0" fontId="0" fillId="1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14" fontId="0" fillId="0" borderId="0" xfId="0" applyNumberFormat="1"/>
    <xf numFmtId="0" fontId="0" fillId="37" borderId="0" xfId="0" applyFill="1"/>
    <xf numFmtId="0" fontId="2" fillId="42" borderId="0" xfId="0" applyFont="1" applyFill="1"/>
    <xf numFmtId="0" fontId="4" fillId="0" borderId="0" xfId="1" applyFont="1" applyAlignment="1" applyProtection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Standard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66"/>
      <rgbColor rgb="00CC99FF"/>
      <rgbColor rgb="00FFCC99"/>
      <rgbColor rgb="003366FF"/>
      <rgbColor rgb="0033CC66"/>
      <rgbColor rgb="0099CC00"/>
      <rgbColor rgb="00FFCC00"/>
      <rgbColor rgb="00FF9900"/>
      <rgbColor rgb="00FF420E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ExterneDaten_1" connectionId="12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20101014_210654_expenseCategories" connectionId="1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20101014_210654_2010-09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eDaten_9" connectionId="10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29"/>
  <dimension ref="A1:D9"/>
  <sheetViews>
    <sheetView workbookViewId="0"/>
  </sheetViews>
  <sheetFormatPr baseColWidth="10" defaultRowHeight="12.75"/>
  <cols>
    <col min="1" max="1" width="3.42578125" bestFit="1" customWidth="1"/>
    <col min="2" max="2" width="11.5703125" bestFit="1" customWidth="1"/>
    <col min="3" max="3" width="48.140625" bestFit="1" customWidth="1"/>
    <col min="4" max="4" width="7" bestFit="1" customWidth="1"/>
  </cols>
  <sheetData>
    <row r="1" spans="1:4">
      <c r="A1" s="24" t="s">
        <v>55</v>
      </c>
      <c r="B1" s="24" t="s">
        <v>56</v>
      </c>
      <c r="C1" s="24" t="s">
        <v>57</v>
      </c>
      <c r="D1" s="24" t="s">
        <v>58</v>
      </c>
    </row>
    <row r="2" spans="1:4">
      <c r="A2" s="24" t="s">
        <v>100</v>
      </c>
      <c r="B2" s="24" t="s">
        <v>59</v>
      </c>
      <c r="C2" s="24" t="s">
        <v>60</v>
      </c>
      <c r="D2" s="24" t="s">
        <v>61</v>
      </c>
    </row>
    <row r="3" spans="1:4">
      <c r="A3" s="24" t="s">
        <v>101</v>
      </c>
      <c r="B3" s="24" t="s">
        <v>12</v>
      </c>
      <c r="C3" s="24" t="s">
        <v>102</v>
      </c>
      <c r="D3" s="24" t="s">
        <v>61</v>
      </c>
    </row>
    <row r="4" spans="1:4">
      <c r="A4" s="24" t="s">
        <v>103</v>
      </c>
      <c r="B4" s="24" t="s">
        <v>62</v>
      </c>
      <c r="C4" s="24" t="s">
        <v>63</v>
      </c>
      <c r="D4" s="24" t="s">
        <v>61</v>
      </c>
    </row>
    <row r="5" spans="1:4">
      <c r="A5" s="24" t="s">
        <v>104</v>
      </c>
      <c r="B5" s="24" t="s">
        <v>16</v>
      </c>
      <c r="C5" s="24" t="s">
        <v>64</v>
      </c>
      <c r="D5" s="24" t="s">
        <v>61</v>
      </c>
    </row>
    <row r="6" spans="1:4">
      <c r="A6" s="24" t="s">
        <v>105</v>
      </c>
      <c r="B6" s="24" t="s">
        <v>65</v>
      </c>
      <c r="C6" s="24" t="s">
        <v>106</v>
      </c>
      <c r="D6" s="24" t="s">
        <v>61</v>
      </c>
    </row>
    <row r="7" spans="1:4">
      <c r="A7" s="24" t="s">
        <v>107</v>
      </c>
      <c r="B7" s="24" t="s">
        <v>21</v>
      </c>
      <c r="C7" s="24" t="s">
        <v>66</v>
      </c>
      <c r="D7" s="24" t="s">
        <v>61</v>
      </c>
    </row>
    <row r="8" spans="1:4">
      <c r="A8" s="24" t="s">
        <v>108</v>
      </c>
      <c r="B8" s="24" t="s">
        <v>67</v>
      </c>
      <c r="C8" s="24" t="s">
        <v>68</v>
      </c>
      <c r="D8" s="24" t="s">
        <v>61</v>
      </c>
    </row>
    <row r="9" spans="1:4">
      <c r="A9" s="24" t="s">
        <v>109</v>
      </c>
      <c r="B9" s="24" t="s">
        <v>69</v>
      </c>
      <c r="C9" s="24" t="s">
        <v>70</v>
      </c>
      <c r="D9" s="24" t="s">
        <v>61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ExpenseCategories"/>
  <dimension ref="A1:D9"/>
  <sheetViews>
    <sheetView workbookViewId="0">
      <selection activeCell="C40" sqref="A1:XFD1048576"/>
    </sheetView>
  </sheetViews>
  <sheetFormatPr baseColWidth="10" defaultRowHeight="12.75"/>
  <cols>
    <col min="1" max="1" width="3.42578125" bestFit="1" customWidth="1"/>
    <col min="2" max="2" width="11.5703125" bestFit="1" customWidth="1"/>
    <col min="3" max="3" width="48.140625" bestFit="1" customWidth="1"/>
    <col min="4" max="4" width="7" bestFit="1" customWidth="1"/>
  </cols>
  <sheetData>
    <row r="1" spans="1:4">
      <c r="A1" t="s">
        <v>55</v>
      </c>
      <c r="B1" s="24" t="s">
        <v>56</v>
      </c>
      <c r="C1" s="24" t="s">
        <v>57</v>
      </c>
      <c r="D1" t="s">
        <v>58</v>
      </c>
    </row>
    <row r="2" spans="1:4">
      <c r="A2">
        <v>1</v>
      </c>
      <c r="B2" s="24" t="s">
        <v>59</v>
      </c>
      <c r="C2" s="24" t="s">
        <v>60</v>
      </c>
      <c r="D2" t="s">
        <v>61</v>
      </c>
    </row>
    <row r="3" spans="1:4">
      <c r="A3">
        <v>2</v>
      </c>
      <c r="B3" s="24" t="s">
        <v>12</v>
      </c>
      <c r="C3" s="24" t="s">
        <v>71</v>
      </c>
      <c r="D3" t="s">
        <v>61</v>
      </c>
    </row>
    <row r="4" spans="1:4">
      <c r="A4">
        <v>3</v>
      </c>
      <c r="B4" s="24" t="s">
        <v>62</v>
      </c>
      <c r="C4" s="24" t="s">
        <v>63</v>
      </c>
      <c r="D4" t="s">
        <v>61</v>
      </c>
    </row>
    <row r="5" spans="1:4">
      <c r="A5">
        <v>4</v>
      </c>
      <c r="B5" s="24" t="s">
        <v>16</v>
      </c>
      <c r="C5" s="24" t="s">
        <v>64</v>
      </c>
      <c r="D5" t="s">
        <v>61</v>
      </c>
    </row>
    <row r="6" spans="1:4">
      <c r="A6">
        <v>5</v>
      </c>
      <c r="B6" s="24" t="s">
        <v>65</v>
      </c>
      <c r="C6" s="24" t="s">
        <v>72</v>
      </c>
      <c r="D6" t="s">
        <v>61</v>
      </c>
    </row>
    <row r="7" spans="1:4">
      <c r="A7">
        <v>6</v>
      </c>
      <c r="B7" s="24" t="s">
        <v>21</v>
      </c>
      <c r="C7" s="24" t="s">
        <v>66</v>
      </c>
      <c r="D7" t="s">
        <v>61</v>
      </c>
    </row>
    <row r="8" spans="1:4">
      <c r="A8">
        <v>7</v>
      </c>
      <c r="B8" s="24" t="s">
        <v>67</v>
      </c>
      <c r="C8" s="24" t="s">
        <v>68</v>
      </c>
      <c r="D8" t="s">
        <v>61</v>
      </c>
    </row>
    <row r="9" spans="1:4">
      <c r="A9">
        <v>8</v>
      </c>
      <c r="B9" s="24" t="s">
        <v>69</v>
      </c>
      <c r="C9" s="24" t="s">
        <v>70</v>
      </c>
      <c r="D9" t="s">
        <v>61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1"/>
  <dimension ref="A1:E32"/>
  <sheetViews>
    <sheetView workbookViewId="0">
      <selection activeCell="C32" sqref="C32"/>
    </sheetView>
  </sheetViews>
  <sheetFormatPr baseColWidth="10" defaultRowHeight="12.75"/>
  <cols>
    <col min="1" max="1" width="3.42578125" bestFit="1" customWidth="1"/>
    <col min="2" max="2" width="11.85546875" bestFit="1" customWidth="1"/>
    <col min="3" max="3" width="7.140625" bestFit="1" customWidth="1"/>
    <col min="4" max="4" width="16.85546875" bestFit="1" customWidth="1"/>
    <col min="5" max="5" width="17" bestFit="1" customWidth="1"/>
  </cols>
  <sheetData>
    <row r="1" spans="1:5">
      <c r="A1" t="s">
        <v>55</v>
      </c>
      <c r="B1" t="s">
        <v>79</v>
      </c>
      <c r="C1" t="s">
        <v>80</v>
      </c>
      <c r="D1" t="s">
        <v>81</v>
      </c>
      <c r="E1" t="s">
        <v>82</v>
      </c>
    </row>
    <row r="2" spans="1:5">
      <c r="A2">
        <v>1</v>
      </c>
      <c r="B2" s="80">
        <v>40422</v>
      </c>
      <c r="C2">
        <v>47</v>
      </c>
      <c r="D2" t="s">
        <v>83</v>
      </c>
      <c r="E2">
        <v>6</v>
      </c>
    </row>
    <row r="3" spans="1:5">
      <c r="A3">
        <v>2</v>
      </c>
      <c r="B3" s="80">
        <v>40424</v>
      </c>
      <c r="C3">
        <v>5</v>
      </c>
      <c r="E3">
        <v>4</v>
      </c>
    </row>
    <row r="4" spans="1:5">
      <c r="A4">
        <v>3</v>
      </c>
      <c r="B4" s="80">
        <v>40425</v>
      </c>
      <c r="C4">
        <v>9</v>
      </c>
      <c r="E4">
        <v>2</v>
      </c>
    </row>
    <row r="5" spans="1:5">
      <c r="A5">
        <v>4</v>
      </c>
      <c r="B5" s="80">
        <v>40425</v>
      </c>
      <c r="C5">
        <v>13</v>
      </c>
      <c r="E5">
        <v>2</v>
      </c>
    </row>
    <row r="6" spans="1:5">
      <c r="A6">
        <v>5</v>
      </c>
      <c r="B6" s="80">
        <v>40425</v>
      </c>
      <c r="C6">
        <v>11</v>
      </c>
      <c r="E6">
        <v>2</v>
      </c>
    </row>
    <row r="7" spans="1:5">
      <c r="A7">
        <v>6</v>
      </c>
      <c r="B7" s="80">
        <v>40425</v>
      </c>
      <c r="C7">
        <v>9</v>
      </c>
      <c r="D7" t="s">
        <v>90</v>
      </c>
      <c r="E7">
        <v>6</v>
      </c>
    </row>
    <row r="8" spans="1:5">
      <c r="A8">
        <v>7</v>
      </c>
      <c r="B8" s="80">
        <v>40425</v>
      </c>
      <c r="C8">
        <v>40</v>
      </c>
      <c r="D8" t="s">
        <v>91</v>
      </c>
      <c r="E8">
        <v>6</v>
      </c>
    </row>
    <row r="9" spans="1:5">
      <c r="A9">
        <v>8</v>
      </c>
      <c r="B9" s="80">
        <v>40426</v>
      </c>
      <c r="C9">
        <v>9</v>
      </c>
      <c r="E9">
        <v>6</v>
      </c>
    </row>
    <row r="10" spans="1:5">
      <c r="A10">
        <v>9</v>
      </c>
      <c r="B10" s="80">
        <v>40427</v>
      </c>
      <c r="C10">
        <v>5</v>
      </c>
      <c r="E10">
        <v>4</v>
      </c>
    </row>
    <row r="11" spans="1:5">
      <c r="A11">
        <v>10</v>
      </c>
      <c r="B11" s="80">
        <v>40432</v>
      </c>
      <c r="C11">
        <v>100</v>
      </c>
      <c r="E11">
        <v>6</v>
      </c>
    </row>
    <row r="12" spans="1:5">
      <c r="A12">
        <v>11</v>
      </c>
      <c r="B12" s="80">
        <v>40434</v>
      </c>
      <c r="C12">
        <v>20</v>
      </c>
      <c r="D12" t="s">
        <v>84</v>
      </c>
      <c r="E12">
        <v>5</v>
      </c>
    </row>
    <row r="13" spans="1:5">
      <c r="A13">
        <v>12</v>
      </c>
      <c r="B13" s="80">
        <v>40429</v>
      </c>
      <c r="C13">
        <v>9</v>
      </c>
      <c r="D13" t="s">
        <v>85</v>
      </c>
      <c r="E13">
        <v>7</v>
      </c>
    </row>
    <row r="14" spans="1:5">
      <c r="A14">
        <v>13</v>
      </c>
      <c r="B14" s="80">
        <v>40434</v>
      </c>
      <c r="C14">
        <v>12</v>
      </c>
      <c r="D14" t="s">
        <v>89</v>
      </c>
      <c r="E14">
        <v>2</v>
      </c>
    </row>
    <row r="15" spans="1:5">
      <c r="A15">
        <v>14</v>
      </c>
      <c r="B15" s="80">
        <v>40435</v>
      </c>
      <c r="C15">
        <v>20</v>
      </c>
      <c r="E15">
        <v>4</v>
      </c>
    </row>
    <row r="16" spans="1:5">
      <c r="A16">
        <v>15</v>
      </c>
      <c r="B16" s="80">
        <v>40437</v>
      </c>
      <c r="C16">
        <v>10</v>
      </c>
      <c r="E16">
        <v>4</v>
      </c>
    </row>
    <row r="17" spans="1:5">
      <c r="A17">
        <v>16</v>
      </c>
      <c r="B17" s="80">
        <v>40437</v>
      </c>
      <c r="C17">
        <v>13</v>
      </c>
      <c r="D17" t="s">
        <v>86</v>
      </c>
      <c r="E17">
        <v>8</v>
      </c>
    </row>
    <row r="18" spans="1:5">
      <c r="A18">
        <v>17</v>
      </c>
      <c r="B18" s="80">
        <v>40438</v>
      </c>
      <c r="C18">
        <v>5</v>
      </c>
      <c r="D18" t="s">
        <v>87</v>
      </c>
      <c r="E18">
        <v>2</v>
      </c>
    </row>
    <row r="19" spans="1:5">
      <c r="A19">
        <v>18</v>
      </c>
      <c r="B19" s="80">
        <v>40438</v>
      </c>
      <c r="C19">
        <v>9</v>
      </c>
      <c r="E19">
        <v>6</v>
      </c>
    </row>
    <row r="20" spans="1:5">
      <c r="A20">
        <v>19</v>
      </c>
      <c r="B20" s="80">
        <v>40438</v>
      </c>
      <c r="C20">
        <v>19</v>
      </c>
      <c r="E20">
        <v>2</v>
      </c>
    </row>
    <row r="21" spans="1:5">
      <c r="A21">
        <v>20</v>
      </c>
      <c r="B21" s="80">
        <v>40439</v>
      </c>
      <c r="C21">
        <v>25</v>
      </c>
      <c r="E21">
        <v>6</v>
      </c>
    </row>
    <row r="22" spans="1:5">
      <c r="A22">
        <v>21</v>
      </c>
      <c r="B22" s="80">
        <v>40442</v>
      </c>
      <c r="C22">
        <v>10</v>
      </c>
      <c r="E22">
        <v>4</v>
      </c>
    </row>
    <row r="23" spans="1:5">
      <c r="A23">
        <v>22</v>
      </c>
      <c r="B23" s="80">
        <v>40441</v>
      </c>
      <c r="C23">
        <v>26</v>
      </c>
      <c r="D23" t="s">
        <v>88</v>
      </c>
      <c r="E23">
        <v>7</v>
      </c>
    </row>
    <row r="24" spans="1:5">
      <c r="A24">
        <v>23</v>
      </c>
      <c r="B24" s="80">
        <v>40443</v>
      </c>
      <c r="C24">
        <v>10</v>
      </c>
      <c r="E24">
        <v>6</v>
      </c>
    </row>
    <row r="25" spans="1:5">
      <c r="A25">
        <v>24</v>
      </c>
      <c r="B25" s="80">
        <v>40443</v>
      </c>
      <c r="C25">
        <v>4</v>
      </c>
      <c r="E25">
        <v>4</v>
      </c>
    </row>
    <row r="26" spans="1:5">
      <c r="A26">
        <v>25</v>
      </c>
      <c r="B26" s="80">
        <v>40443</v>
      </c>
      <c r="C26">
        <v>20</v>
      </c>
      <c r="E26">
        <v>6</v>
      </c>
    </row>
    <row r="27" spans="1:5">
      <c r="A27">
        <v>26</v>
      </c>
      <c r="B27" s="80">
        <v>40445</v>
      </c>
      <c r="C27">
        <v>20</v>
      </c>
      <c r="E27">
        <v>4</v>
      </c>
    </row>
    <row r="28" spans="1:5">
      <c r="A28">
        <v>27</v>
      </c>
      <c r="B28" s="80">
        <v>40445</v>
      </c>
      <c r="C28">
        <v>100</v>
      </c>
      <c r="E28">
        <v>6</v>
      </c>
    </row>
    <row r="29" spans="1:5">
      <c r="A29">
        <v>28</v>
      </c>
      <c r="B29" s="80">
        <v>40451</v>
      </c>
      <c r="C29">
        <v>20</v>
      </c>
      <c r="E29">
        <v>4</v>
      </c>
    </row>
    <row r="32" spans="1:5">
      <c r="C32">
        <f>SUM(C2:C29)</f>
        <v>600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2"/>
  <dimension ref="A1:K56"/>
  <sheetViews>
    <sheetView tabSelected="1" workbookViewId="0">
      <selection activeCell="F36" sqref="F36"/>
    </sheetView>
  </sheetViews>
  <sheetFormatPr baseColWidth="10" defaultRowHeight="12.75"/>
  <sheetData>
    <row r="1" spans="1:11" s="3" customFormat="1">
      <c r="A1" s="3" t="s">
        <v>43</v>
      </c>
      <c r="B1" s="3" t="s">
        <v>59</v>
      </c>
      <c r="C1" s="3" t="s">
        <v>12</v>
      </c>
      <c r="D1" s="3" t="s">
        <v>62</v>
      </c>
      <c r="E1" s="3" t="s">
        <v>16</v>
      </c>
      <c r="F1" s="3" t="s">
        <v>65</v>
      </c>
      <c r="G1" s="3" t="s">
        <v>21</v>
      </c>
      <c r="H1" s="3" t="s">
        <v>67</v>
      </c>
      <c r="I1" s="3" t="s">
        <v>69</v>
      </c>
      <c r="J1" s="82" t="s">
        <v>32</v>
      </c>
      <c r="K1" s="25">
        <v>1</v>
      </c>
    </row>
    <row r="2" spans="1:11">
      <c r="A2">
        <v>1</v>
      </c>
      <c r="G2">
        <v>47</v>
      </c>
      <c r="J2" s="82">
        <f>SUM(B2:I2)</f>
        <v>47</v>
      </c>
      <c r="K2" s="26">
        <v>2</v>
      </c>
    </row>
    <row r="3" spans="1:11">
      <c r="A3">
        <v>2</v>
      </c>
      <c r="J3" s="82">
        <f>SUM(B3:I3)</f>
        <v>0</v>
      </c>
      <c r="K3" s="27">
        <v>3</v>
      </c>
    </row>
    <row r="4" spans="1:11">
      <c r="A4">
        <v>3</v>
      </c>
      <c r="E4">
        <v>5</v>
      </c>
      <c r="J4" s="82">
        <f>SUM(B4:I4)</f>
        <v>5</v>
      </c>
      <c r="K4" s="28">
        <v>4</v>
      </c>
    </row>
    <row r="5" spans="1:11">
      <c r="A5">
        <v>4</v>
      </c>
      <c r="C5">
        <f>22+11</f>
        <v>33</v>
      </c>
      <c r="G5">
        <f>9+40</f>
        <v>49</v>
      </c>
      <c r="J5" s="82">
        <f>SUM(B5:I5)</f>
        <v>82</v>
      </c>
      <c r="K5" s="29">
        <v>5</v>
      </c>
    </row>
    <row r="6" spans="1:11">
      <c r="A6">
        <v>5</v>
      </c>
      <c r="G6">
        <v>9</v>
      </c>
      <c r="J6" s="82">
        <f>SUM(B6:I6)</f>
        <v>9</v>
      </c>
      <c r="K6" s="30">
        <v>6</v>
      </c>
    </row>
    <row r="7" spans="1:11">
      <c r="A7">
        <v>6</v>
      </c>
      <c r="E7">
        <v>5</v>
      </c>
      <c r="J7" s="82">
        <f>SUM(B7:I7)</f>
        <v>5</v>
      </c>
      <c r="K7" s="31">
        <v>7</v>
      </c>
    </row>
    <row r="8" spans="1:11">
      <c r="A8">
        <v>7</v>
      </c>
      <c r="J8" s="82">
        <f>SUM(B8:I8)</f>
        <v>0</v>
      </c>
      <c r="K8" s="32">
        <v>8</v>
      </c>
    </row>
    <row r="9" spans="1:11">
      <c r="A9">
        <v>8</v>
      </c>
      <c r="H9">
        <v>9</v>
      </c>
      <c r="J9" s="82">
        <f>SUM(B9:I9)</f>
        <v>9</v>
      </c>
      <c r="K9" s="33">
        <v>9</v>
      </c>
    </row>
    <row r="10" spans="1:11">
      <c r="A10">
        <v>9</v>
      </c>
      <c r="J10" s="82">
        <f>SUM(B10:I10)</f>
        <v>0</v>
      </c>
      <c r="K10" s="34">
        <v>10</v>
      </c>
    </row>
    <row r="11" spans="1:11">
      <c r="A11">
        <v>10</v>
      </c>
      <c r="J11" s="82">
        <f>SUM(B11:I11)</f>
        <v>0</v>
      </c>
      <c r="K11" s="35">
        <v>11</v>
      </c>
    </row>
    <row r="12" spans="1:11">
      <c r="A12">
        <v>11</v>
      </c>
      <c r="G12">
        <v>100</v>
      </c>
      <c r="J12" s="82">
        <f>SUM(B12:I12)</f>
        <v>100</v>
      </c>
      <c r="K12" s="36">
        <v>12</v>
      </c>
    </row>
    <row r="13" spans="1:11">
      <c r="A13">
        <v>12</v>
      </c>
      <c r="J13" s="82">
        <f>SUM(B13:I13)</f>
        <v>0</v>
      </c>
      <c r="K13" s="37">
        <v>13</v>
      </c>
    </row>
    <row r="14" spans="1:11">
      <c r="A14">
        <v>13</v>
      </c>
      <c r="C14">
        <v>12</v>
      </c>
      <c r="F14">
        <v>20</v>
      </c>
      <c r="J14" s="82">
        <f>SUM(B14:I14)</f>
        <v>32</v>
      </c>
      <c r="K14" s="38">
        <v>14</v>
      </c>
    </row>
    <row r="15" spans="1:11">
      <c r="A15">
        <v>14</v>
      </c>
      <c r="E15">
        <v>20</v>
      </c>
      <c r="J15" s="82">
        <f>SUM(B15:I15)</f>
        <v>20</v>
      </c>
      <c r="K15" s="39">
        <v>15</v>
      </c>
    </row>
    <row r="16" spans="1:11">
      <c r="A16">
        <v>15</v>
      </c>
      <c r="J16" s="82">
        <f>SUM(B16:I16)</f>
        <v>0</v>
      </c>
      <c r="K16" s="40">
        <v>16</v>
      </c>
    </row>
    <row r="17" spans="1:11">
      <c r="A17">
        <v>16</v>
      </c>
      <c r="E17">
        <v>10</v>
      </c>
      <c r="I17">
        <v>13</v>
      </c>
      <c r="J17" s="82">
        <f>SUM(B17:I17)</f>
        <v>23</v>
      </c>
      <c r="K17" s="41">
        <v>17</v>
      </c>
    </row>
    <row r="18" spans="1:11">
      <c r="A18">
        <v>17</v>
      </c>
      <c r="C18">
        <f>5+19</f>
        <v>24</v>
      </c>
      <c r="G18">
        <v>9</v>
      </c>
      <c r="J18" s="82">
        <f>SUM(B18:I18)</f>
        <v>33</v>
      </c>
      <c r="K18" s="42">
        <v>18</v>
      </c>
    </row>
    <row r="19" spans="1:11">
      <c r="A19">
        <v>18</v>
      </c>
      <c r="G19">
        <v>25</v>
      </c>
      <c r="J19" s="82">
        <f>SUM(B19:I19)</f>
        <v>25</v>
      </c>
      <c r="K19" s="43">
        <v>19</v>
      </c>
    </row>
    <row r="20" spans="1:11">
      <c r="A20">
        <v>19</v>
      </c>
      <c r="J20" s="82">
        <f>SUM(B20:I20)</f>
        <v>0</v>
      </c>
      <c r="K20" s="44">
        <v>20</v>
      </c>
    </row>
    <row r="21" spans="1:11">
      <c r="A21">
        <v>20</v>
      </c>
      <c r="H21">
        <v>26</v>
      </c>
      <c r="J21" s="82">
        <f>SUM(B21:I21)</f>
        <v>26</v>
      </c>
      <c r="K21" s="45">
        <v>21</v>
      </c>
    </row>
    <row r="22" spans="1:11">
      <c r="A22">
        <v>21</v>
      </c>
      <c r="E22">
        <v>10</v>
      </c>
      <c r="J22" s="82">
        <f>SUM(B22:I22)</f>
        <v>10</v>
      </c>
      <c r="K22" s="46">
        <v>22</v>
      </c>
    </row>
    <row r="23" spans="1:11">
      <c r="A23">
        <v>22</v>
      </c>
      <c r="E23">
        <v>4</v>
      </c>
      <c r="G23">
        <f>10+20</f>
        <v>30</v>
      </c>
      <c r="J23" s="82">
        <f>SUM(B23:I23)</f>
        <v>34</v>
      </c>
      <c r="K23" s="47">
        <v>23</v>
      </c>
    </row>
    <row r="24" spans="1:11">
      <c r="A24">
        <v>23</v>
      </c>
      <c r="J24" s="82">
        <f>SUM(B24:I24)</f>
        <v>0</v>
      </c>
      <c r="K24" s="48">
        <v>24</v>
      </c>
    </row>
    <row r="25" spans="1:11">
      <c r="A25">
        <v>24</v>
      </c>
      <c r="E25">
        <v>20</v>
      </c>
      <c r="G25">
        <v>100</v>
      </c>
      <c r="J25" s="82">
        <f>SUM(B25:I25)</f>
        <v>120</v>
      </c>
      <c r="K25" s="49">
        <v>25</v>
      </c>
    </row>
    <row r="26" spans="1:11">
      <c r="A26">
        <v>25</v>
      </c>
      <c r="J26" s="82">
        <f>SUM(B26:I26)</f>
        <v>0</v>
      </c>
      <c r="K26" s="50">
        <v>26</v>
      </c>
    </row>
    <row r="27" spans="1:11">
      <c r="A27">
        <v>26</v>
      </c>
      <c r="J27" s="82">
        <f>SUM(B27:I27)</f>
        <v>0</v>
      </c>
      <c r="K27" s="51">
        <v>27</v>
      </c>
    </row>
    <row r="28" spans="1:11">
      <c r="A28">
        <v>27</v>
      </c>
      <c r="J28" s="82">
        <f>SUM(B28:I28)</f>
        <v>0</v>
      </c>
      <c r="K28" s="52">
        <v>28</v>
      </c>
    </row>
    <row r="29" spans="1:11">
      <c r="A29">
        <v>28</v>
      </c>
      <c r="J29" s="82">
        <f>SUM(B29:I29)</f>
        <v>0</v>
      </c>
      <c r="K29" s="53">
        <v>29</v>
      </c>
    </row>
    <row r="30" spans="1:11">
      <c r="A30">
        <v>29</v>
      </c>
      <c r="J30" s="82">
        <f>SUM(B30:I30)</f>
        <v>0</v>
      </c>
      <c r="K30" s="54">
        <v>30</v>
      </c>
    </row>
    <row r="31" spans="1:11">
      <c r="A31">
        <v>30</v>
      </c>
      <c r="E31">
        <v>20</v>
      </c>
      <c r="J31" s="82">
        <f>SUM(B31:I31)</f>
        <v>20</v>
      </c>
      <c r="K31" s="55">
        <v>31</v>
      </c>
    </row>
    <row r="32" spans="1:11">
      <c r="A32">
        <v>31</v>
      </c>
      <c r="J32" s="82">
        <f>SUM(B32:I32)</f>
        <v>0</v>
      </c>
      <c r="K32" s="56">
        <v>32</v>
      </c>
    </row>
    <row r="33" spans="1:11">
      <c r="A33" s="82"/>
      <c r="B33" s="82">
        <f>SUM(B2:B32)</f>
        <v>0</v>
      </c>
      <c r="C33" s="82">
        <f>SUM(C2:C32)</f>
        <v>69</v>
      </c>
      <c r="D33" s="82">
        <f>SUM(D2:D32)</f>
        <v>0</v>
      </c>
      <c r="E33" s="82">
        <f>SUM(E2:E32)</f>
        <v>94</v>
      </c>
      <c r="F33" s="82">
        <f>SUM(F2:F32)</f>
        <v>20</v>
      </c>
      <c r="G33" s="82">
        <f>SUM(G2:G32)</f>
        <v>369</v>
      </c>
      <c r="H33" s="82">
        <f>SUM(H2:H32)</f>
        <v>35</v>
      </c>
      <c r="I33" s="82">
        <f>SUM(I2:I32)</f>
        <v>13</v>
      </c>
      <c r="J33" s="82">
        <f>SUM(B33:I33)</f>
        <v>600</v>
      </c>
      <c r="K33" s="81">
        <v>33</v>
      </c>
    </row>
    <row r="34" spans="1:11">
      <c r="K34" s="57">
        <v>34</v>
      </c>
    </row>
    <row r="35" spans="1:11">
      <c r="K35" s="58">
        <v>35</v>
      </c>
    </row>
    <row r="36" spans="1:11">
      <c r="K36" s="59">
        <v>36</v>
      </c>
    </row>
    <row r="37" spans="1:11">
      <c r="K37" s="60">
        <v>37</v>
      </c>
    </row>
    <row r="38" spans="1:11">
      <c r="K38" s="61">
        <v>38</v>
      </c>
    </row>
    <row r="39" spans="1:11">
      <c r="K39" s="62">
        <v>39</v>
      </c>
    </row>
    <row r="40" spans="1:11">
      <c r="K40" s="63">
        <v>40</v>
      </c>
    </row>
    <row r="41" spans="1:11">
      <c r="K41" s="64">
        <v>41</v>
      </c>
    </row>
    <row r="42" spans="1:11">
      <c r="K42" s="65">
        <v>42</v>
      </c>
    </row>
    <row r="43" spans="1:11">
      <c r="K43" s="66">
        <v>43</v>
      </c>
    </row>
    <row r="44" spans="1:11">
      <c r="K44" s="67">
        <v>44</v>
      </c>
    </row>
    <row r="45" spans="1:11">
      <c r="K45" s="68">
        <v>45</v>
      </c>
    </row>
    <row r="46" spans="1:11">
      <c r="K46" s="69">
        <v>46</v>
      </c>
    </row>
    <row r="47" spans="1:11">
      <c r="K47" s="70">
        <v>47</v>
      </c>
    </row>
    <row r="48" spans="1:11">
      <c r="K48" s="71">
        <v>48</v>
      </c>
    </row>
    <row r="49" spans="11:11">
      <c r="K49" s="72">
        <v>49</v>
      </c>
    </row>
    <row r="50" spans="11:11">
      <c r="K50" s="73">
        <v>50</v>
      </c>
    </row>
    <row r="51" spans="11:11">
      <c r="K51" s="74">
        <v>51</v>
      </c>
    </row>
    <row r="52" spans="11:11">
      <c r="K52" s="75">
        <v>52</v>
      </c>
    </row>
    <row r="53" spans="11:11">
      <c r="K53" s="76">
        <v>53</v>
      </c>
    </row>
    <row r="54" spans="11:11">
      <c r="K54" s="77">
        <v>54</v>
      </c>
    </row>
    <row r="55" spans="11:11">
      <c r="K55" s="78">
        <v>55</v>
      </c>
    </row>
    <row r="56" spans="11:11">
      <c r="K56" s="79">
        <v>56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31"/>
  <dimension ref="A1:E29"/>
  <sheetViews>
    <sheetView workbookViewId="0">
      <selection activeCell="B20" sqref="B20"/>
    </sheetView>
  </sheetViews>
  <sheetFormatPr baseColWidth="10" defaultRowHeight="12.75"/>
  <cols>
    <col min="1" max="1" width="3.42578125" bestFit="1" customWidth="1"/>
    <col min="2" max="2" width="11.85546875" bestFit="1" customWidth="1"/>
    <col min="3" max="3" width="7.140625" bestFit="1" customWidth="1"/>
    <col min="4" max="4" width="16.85546875" bestFit="1" customWidth="1"/>
    <col min="5" max="5" width="17" bestFit="1" customWidth="1"/>
  </cols>
  <sheetData>
    <row r="1" spans="1:5">
      <c r="A1" s="24" t="s">
        <v>55</v>
      </c>
      <c r="B1" s="24" t="s">
        <v>79</v>
      </c>
      <c r="C1" s="24" t="s">
        <v>80</v>
      </c>
      <c r="D1" s="24" t="s">
        <v>81</v>
      </c>
      <c r="E1" s="24" t="s">
        <v>82</v>
      </c>
    </row>
    <row r="2" spans="1:5">
      <c r="A2" s="24" t="s">
        <v>100</v>
      </c>
      <c r="B2" s="24" t="s">
        <v>118</v>
      </c>
      <c r="C2" s="24" t="s">
        <v>119</v>
      </c>
      <c r="D2" s="24" t="s">
        <v>83</v>
      </c>
      <c r="E2" s="24" t="s">
        <v>107</v>
      </c>
    </row>
    <row r="3" spans="1:5">
      <c r="A3" s="24" t="s">
        <v>101</v>
      </c>
      <c r="B3" s="24" t="s">
        <v>120</v>
      </c>
      <c r="C3" s="24" t="s">
        <v>105</v>
      </c>
      <c r="E3" s="24" t="s">
        <v>104</v>
      </c>
    </row>
    <row r="4" spans="1:5">
      <c r="A4" s="24" t="s">
        <v>103</v>
      </c>
      <c r="B4" s="24" t="s">
        <v>121</v>
      </c>
      <c r="C4" s="24" t="s">
        <v>122</v>
      </c>
      <c r="E4" s="24" t="s">
        <v>101</v>
      </c>
    </row>
    <row r="5" spans="1:5">
      <c r="A5" s="24" t="s">
        <v>104</v>
      </c>
      <c r="B5" s="24" t="s">
        <v>121</v>
      </c>
      <c r="C5" s="24" t="s">
        <v>123</v>
      </c>
      <c r="E5" s="24" t="s">
        <v>101</v>
      </c>
    </row>
    <row r="6" spans="1:5">
      <c r="A6" s="24" t="s">
        <v>105</v>
      </c>
      <c r="B6" s="24" t="s">
        <v>121</v>
      </c>
      <c r="C6" s="24" t="s">
        <v>124</v>
      </c>
      <c r="E6" s="24" t="s">
        <v>101</v>
      </c>
    </row>
    <row r="7" spans="1:5">
      <c r="A7" s="24" t="s">
        <v>107</v>
      </c>
      <c r="B7" s="24" t="s">
        <v>121</v>
      </c>
      <c r="C7" s="24" t="s">
        <v>122</v>
      </c>
      <c r="E7" s="24" t="s">
        <v>107</v>
      </c>
    </row>
    <row r="8" spans="1:5">
      <c r="A8" s="24" t="s">
        <v>108</v>
      </c>
      <c r="B8" s="24" t="s">
        <v>121</v>
      </c>
      <c r="C8" s="24" t="s">
        <v>125</v>
      </c>
      <c r="E8" s="24" t="s">
        <v>107</v>
      </c>
    </row>
    <row r="9" spans="1:5">
      <c r="A9" s="24" t="s">
        <v>109</v>
      </c>
      <c r="B9" s="24" t="s">
        <v>126</v>
      </c>
      <c r="C9" s="24" t="s">
        <v>122</v>
      </c>
      <c r="E9" s="24" t="s">
        <v>107</v>
      </c>
    </row>
    <row r="10" spans="1:5">
      <c r="A10" s="24" t="s">
        <v>122</v>
      </c>
      <c r="B10" s="24" t="s">
        <v>127</v>
      </c>
      <c r="C10" s="24" t="s">
        <v>105</v>
      </c>
      <c r="E10" s="24" t="s">
        <v>104</v>
      </c>
    </row>
    <row r="11" spans="1:5">
      <c r="A11" s="24" t="s">
        <v>128</v>
      </c>
      <c r="B11" s="24" t="s">
        <v>129</v>
      </c>
      <c r="C11" s="24" t="s">
        <v>130</v>
      </c>
      <c r="E11" s="24" t="s">
        <v>107</v>
      </c>
    </row>
    <row r="12" spans="1:5">
      <c r="A12" s="24" t="s">
        <v>124</v>
      </c>
      <c r="B12" s="24" t="s">
        <v>131</v>
      </c>
      <c r="C12" s="24" t="s">
        <v>132</v>
      </c>
      <c r="D12" s="24" t="s">
        <v>84</v>
      </c>
      <c r="E12" s="24" t="s">
        <v>105</v>
      </c>
    </row>
    <row r="13" spans="1:5">
      <c r="A13" s="24" t="s">
        <v>133</v>
      </c>
      <c r="B13" s="24" t="s">
        <v>134</v>
      </c>
      <c r="C13" s="24" t="s">
        <v>122</v>
      </c>
      <c r="D13" s="24" t="s">
        <v>85</v>
      </c>
      <c r="E13" s="24" t="s">
        <v>108</v>
      </c>
    </row>
    <row r="14" spans="1:5">
      <c r="A14" s="24" t="s">
        <v>123</v>
      </c>
      <c r="B14" s="24" t="s">
        <v>131</v>
      </c>
      <c r="C14" s="24" t="s">
        <v>133</v>
      </c>
      <c r="E14" s="24" t="s">
        <v>101</v>
      </c>
    </row>
    <row r="15" spans="1:5">
      <c r="A15" s="24" t="s">
        <v>135</v>
      </c>
      <c r="B15" s="24" t="s">
        <v>136</v>
      </c>
      <c r="C15" s="24" t="s">
        <v>132</v>
      </c>
      <c r="E15" s="24" t="s">
        <v>104</v>
      </c>
    </row>
    <row r="16" spans="1:5">
      <c r="A16" s="24" t="s">
        <v>137</v>
      </c>
      <c r="B16" s="24" t="s">
        <v>138</v>
      </c>
      <c r="C16" s="24" t="s">
        <v>128</v>
      </c>
      <c r="E16" s="24" t="s">
        <v>104</v>
      </c>
    </row>
    <row r="17" spans="1:5">
      <c r="A17" s="24" t="s">
        <v>139</v>
      </c>
      <c r="B17" s="24" t="s">
        <v>138</v>
      </c>
      <c r="C17" s="24" t="s">
        <v>123</v>
      </c>
      <c r="D17" s="24" t="s">
        <v>86</v>
      </c>
      <c r="E17" s="24" t="s">
        <v>109</v>
      </c>
    </row>
    <row r="18" spans="1:5">
      <c r="A18" s="24" t="s">
        <v>140</v>
      </c>
      <c r="B18" s="24" t="s">
        <v>141</v>
      </c>
      <c r="C18" s="24" t="s">
        <v>105</v>
      </c>
      <c r="D18" s="24" t="s">
        <v>87</v>
      </c>
      <c r="E18" s="24" t="s">
        <v>101</v>
      </c>
    </row>
    <row r="19" spans="1:5">
      <c r="A19" s="24" t="s">
        <v>142</v>
      </c>
      <c r="B19" s="24" t="s">
        <v>141</v>
      </c>
      <c r="C19" s="24" t="s">
        <v>122</v>
      </c>
      <c r="E19" s="24" t="s">
        <v>107</v>
      </c>
    </row>
    <row r="20" spans="1:5">
      <c r="A20" s="24" t="s">
        <v>143</v>
      </c>
      <c r="B20" s="24" t="s">
        <v>141</v>
      </c>
      <c r="C20" s="24" t="s">
        <v>143</v>
      </c>
      <c r="E20" s="24" t="s">
        <v>101</v>
      </c>
    </row>
    <row r="21" spans="1:5">
      <c r="A21" s="24" t="s">
        <v>132</v>
      </c>
      <c r="B21" s="24" t="s">
        <v>144</v>
      </c>
      <c r="C21" s="24" t="s">
        <v>145</v>
      </c>
      <c r="E21" s="24" t="s">
        <v>107</v>
      </c>
    </row>
    <row r="22" spans="1:5">
      <c r="A22" s="24" t="s">
        <v>146</v>
      </c>
      <c r="B22" s="24" t="s">
        <v>147</v>
      </c>
      <c r="C22" s="24" t="s">
        <v>128</v>
      </c>
      <c r="E22" s="24" t="s">
        <v>104</v>
      </c>
    </row>
    <row r="23" spans="1:5">
      <c r="A23" s="24" t="s">
        <v>148</v>
      </c>
      <c r="B23" s="24" t="s">
        <v>149</v>
      </c>
      <c r="C23" s="24" t="s">
        <v>150</v>
      </c>
      <c r="D23" s="24" t="s">
        <v>88</v>
      </c>
      <c r="E23" s="24" t="s">
        <v>108</v>
      </c>
    </row>
    <row r="24" spans="1:5">
      <c r="A24" s="24" t="s">
        <v>151</v>
      </c>
      <c r="B24" s="24" t="s">
        <v>152</v>
      </c>
      <c r="C24" s="24" t="s">
        <v>128</v>
      </c>
      <c r="E24" s="24" t="s">
        <v>107</v>
      </c>
    </row>
    <row r="25" spans="1:5">
      <c r="A25" s="24" t="s">
        <v>153</v>
      </c>
      <c r="B25" s="24" t="s">
        <v>152</v>
      </c>
      <c r="C25" s="24" t="s">
        <v>104</v>
      </c>
      <c r="E25" s="24" t="s">
        <v>104</v>
      </c>
    </row>
    <row r="26" spans="1:5">
      <c r="A26" s="24" t="s">
        <v>145</v>
      </c>
      <c r="B26" s="24" t="s">
        <v>152</v>
      </c>
      <c r="C26" s="24" t="s">
        <v>132</v>
      </c>
      <c r="E26" s="24" t="s">
        <v>107</v>
      </c>
    </row>
    <row r="27" spans="1:5">
      <c r="A27" s="24" t="s">
        <v>150</v>
      </c>
      <c r="B27" s="24" t="s">
        <v>154</v>
      </c>
      <c r="C27" s="24" t="s">
        <v>132</v>
      </c>
      <c r="E27" s="24" t="s">
        <v>104</v>
      </c>
    </row>
    <row r="28" spans="1:5">
      <c r="A28" s="24" t="s">
        <v>155</v>
      </c>
      <c r="B28" s="24" t="s">
        <v>154</v>
      </c>
      <c r="C28" s="24" t="s">
        <v>130</v>
      </c>
      <c r="E28" s="24" t="s">
        <v>107</v>
      </c>
    </row>
    <row r="29" spans="1:5">
      <c r="A29" s="24" t="s">
        <v>156</v>
      </c>
      <c r="B29" s="24" t="s">
        <v>157</v>
      </c>
      <c r="C29" s="24" t="s">
        <v>132</v>
      </c>
      <c r="E29" s="24" t="s">
        <v>104</v>
      </c>
    </row>
  </sheetData>
  <dataConsolidate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5"/>
  <dimension ref="A1:J33"/>
  <sheetViews>
    <sheetView workbookViewId="0">
      <selection activeCell="J19" sqref="J19"/>
    </sheetView>
  </sheetViews>
  <sheetFormatPr baseColWidth="10" defaultColWidth="11.5703125" defaultRowHeight="12.75"/>
  <sheetData>
    <row r="1" spans="1:10" s="3" customFormat="1">
      <c r="A1" s="3" t="s">
        <v>43</v>
      </c>
      <c r="B1" s="3" t="s">
        <v>59</v>
      </c>
      <c r="C1" s="3" t="s">
        <v>12</v>
      </c>
      <c r="D1" s="3" t="s">
        <v>62</v>
      </c>
      <c r="E1" s="3" t="s">
        <v>16</v>
      </c>
      <c r="F1" s="3" t="s">
        <v>65</v>
      </c>
      <c r="G1" s="3" t="s">
        <v>21</v>
      </c>
      <c r="H1" s="3" t="s">
        <v>67</v>
      </c>
      <c r="I1" s="3" t="s">
        <v>69</v>
      </c>
      <c r="J1" s="82" t="s">
        <v>32</v>
      </c>
    </row>
    <row r="2" spans="1:10">
      <c r="A2">
        <v>1</v>
      </c>
      <c r="G2">
        <v>47</v>
      </c>
      <c r="J2" s="82">
        <f>SUM(B2:I2)</f>
        <v>47</v>
      </c>
    </row>
    <row r="3" spans="1:10">
      <c r="A3">
        <v>2</v>
      </c>
      <c r="J3" s="82">
        <f>SUM(B3:I3)</f>
        <v>0</v>
      </c>
    </row>
    <row r="4" spans="1:10">
      <c r="A4">
        <v>3</v>
      </c>
      <c r="E4">
        <v>5</v>
      </c>
      <c r="J4" s="82">
        <f>SUM(B4:I4)</f>
        <v>5</v>
      </c>
    </row>
    <row r="5" spans="1:10">
      <c r="A5">
        <v>4</v>
      </c>
      <c r="C5">
        <f>22+11</f>
        <v>33</v>
      </c>
      <c r="G5">
        <f>9+40</f>
        <v>49</v>
      </c>
      <c r="J5" s="82">
        <f>SUM(B5:I5)</f>
        <v>82</v>
      </c>
    </row>
    <row r="6" spans="1:10">
      <c r="A6">
        <v>5</v>
      </c>
      <c r="G6">
        <v>9</v>
      </c>
      <c r="J6" s="82">
        <f>SUM(B6:I6)</f>
        <v>9</v>
      </c>
    </row>
    <row r="7" spans="1:10">
      <c r="A7">
        <v>6</v>
      </c>
      <c r="E7">
        <v>5</v>
      </c>
      <c r="J7" s="82">
        <f>SUM(B7:I7)</f>
        <v>5</v>
      </c>
    </row>
    <row r="8" spans="1:10">
      <c r="A8">
        <v>7</v>
      </c>
      <c r="J8" s="82">
        <f>SUM(B8:I8)</f>
        <v>0</v>
      </c>
    </row>
    <row r="9" spans="1:10">
      <c r="A9">
        <v>8</v>
      </c>
      <c r="H9">
        <v>9</v>
      </c>
      <c r="J9" s="82">
        <f>SUM(B9:I9)</f>
        <v>9</v>
      </c>
    </row>
    <row r="10" spans="1:10">
      <c r="A10">
        <v>9</v>
      </c>
      <c r="J10" s="82">
        <f>SUM(B10:I10)</f>
        <v>0</v>
      </c>
    </row>
    <row r="11" spans="1:10">
      <c r="A11">
        <v>10</v>
      </c>
      <c r="J11" s="82">
        <f>SUM(B11:I11)</f>
        <v>0</v>
      </c>
    </row>
    <row r="12" spans="1:10">
      <c r="A12">
        <v>11</v>
      </c>
      <c r="G12">
        <v>100</v>
      </c>
      <c r="J12" s="82">
        <f>SUM(B12:I12)</f>
        <v>100</v>
      </c>
    </row>
    <row r="13" spans="1:10">
      <c r="A13">
        <v>12</v>
      </c>
      <c r="J13" s="82">
        <f>SUM(B13:I13)</f>
        <v>0</v>
      </c>
    </row>
    <row r="14" spans="1:10">
      <c r="A14">
        <v>13</v>
      </c>
      <c r="C14">
        <v>12</v>
      </c>
      <c r="F14">
        <v>20</v>
      </c>
      <c r="J14" s="82">
        <f>SUM(B14:I14)</f>
        <v>32</v>
      </c>
    </row>
    <row r="15" spans="1:10">
      <c r="A15">
        <v>14</v>
      </c>
      <c r="E15">
        <v>20</v>
      </c>
      <c r="J15" s="82">
        <f>SUM(B15:I15)</f>
        <v>20</v>
      </c>
    </row>
    <row r="16" spans="1:10">
      <c r="A16">
        <v>15</v>
      </c>
      <c r="J16" s="82">
        <f>SUM(B16:I16)</f>
        <v>0</v>
      </c>
    </row>
    <row r="17" spans="1:10">
      <c r="A17">
        <v>16</v>
      </c>
      <c r="E17">
        <v>10</v>
      </c>
      <c r="I17">
        <v>13</v>
      </c>
      <c r="J17" s="82">
        <f>SUM(B17:I17)</f>
        <v>23</v>
      </c>
    </row>
    <row r="18" spans="1:10">
      <c r="A18">
        <v>17</v>
      </c>
      <c r="C18">
        <f>5+19</f>
        <v>24</v>
      </c>
      <c r="G18">
        <v>9</v>
      </c>
      <c r="J18" s="82">
        <f>SUM(B18:I18)</f>
        <v>33</v>
      </c>
    </row>
    <row r="19" spans="1:10">
      <c r="A19">
        <v>18</v>
      </c>
      <c r="G19">
        <v>25</v>
      </c>
      <c r="J19" s="82">
        <f>SUM(B19:I19)</f>
        <v>25</v>
      </c>
    </row>
    <row r="20" spans="1:10">
      <c r="A20">
        <v>19</v>
      </c>
      <c r="J20" s="82">
        <f>SUM(B20:I20)</f>
        <v>0</v>
      </c>
    </row>
    <row r="21" spans="1:10">
      <c r="A21">
        <v>20</v>
      </c>
      <c r="H21">
        <v>26</v>
      </c>
      <c r="J21" s="82">
        <f>SUM(B21:I21)</f>
        <v>26</v>
      </c>
    </row>
    <row r="22" spans="1:10">
      <c r="A22">
        <v>21</v>
      </c>
      <c r="E22">
        <v>10</v>
      </c>
      <c r="J22" s="82">
        <f>SUM(B22:I22)</f>
        <v>10</v>
      </c>
    </row>
    <row r="23" spans="1:10">
      <c r="A23">
        <v>22</v>
      </c>
      <c r="E23">
        <v>4</v>
      </c>
      <c r="G23">
        <f>10+20</f>
        <v>30</v>
      </c>
      <c r="J23" s="82">
        <f>SUM(B23:I23)</f>
        <v>34</v>
      </c>
    </row>
    <row r="24" spans="1:10">
      <c r="A24">
        <v>23</v>
      </c>
      <c r="J24" s="82">
        <f>SUM(B24:I24)</f>
        <v>0</v>
      </c>
    </row>
    <row r="25" spans="1:10">
      <c r="A25">
        <v>24</v>
      </c>
      <c r="E25">
        <v>20</v>
      </c>
      <c r="G25">
        <v>100</v>
      </c>
      <c r="J25" s="82">
        <f>SUM(B25:I25)</f>
        <v>120</v>
      </c>
    </row>
    <row r="26" spans="1:10">
      <c r="A26">
        <v>25</v>
      </c>
      <c r="J26" s="82">
        <f>SUM(B26:I26)</f>
        <v>0</v>
      </c>
    </row>
    <row r="27" spans="1:10">
      <c r="A27">
        <v>26</v>
      </c>
      <c r="J27" s="82">
        <f>SUM(B27:I27)</f>
        <v>0</v>
      </c>
    </row>
    <row r="28" spans="1:10">
      <c r="A28">
        <v>27</v>
      </c>
      <c r="J28" s="82">
        <f>SUM(B28:I28)</f>
        <v>0</v>
      </c>
    </row>
    <row r="29" spans="1:10">
      <c r="A29">
        <v>28</v>
      </c>
      <c r="J29" s="82">
        <f>SUM(B29:I29)</f>
        <v>0</v>
      </c>
    </row>
    <row r="30" spans="1:10">
      <c r="A30">
        <v>29</v>
      </c>
      <c r="J30" s="82">
        <f>SUM(B30:I30)</f>
        <v>0</v>
      </c>
    </row>
    <row r="31" spans="1:10">
      <c r="A31">
        <v>30</v>
      </c>
      <c r="E31">
        <v>20</v>
      </c>
      <c r="J31" s="82">
        <f>SUM(B31:I31)</f>
        <v>20</v>
      </c>
    </row>
    <row r="32" spans="1:10">
      <c r="A32">
        <v>31</v>
      </c>
      <c r="J32" s="82">
        <f>SUM(B32:I32)</f>
        <v>0</v>
      </c>
    </row>
    <row r="33" spans="1:10">
      <c r="A33" s="82"/>
      <c r="B33" s="82">
        <f>SUM(B2:B32)</f>
        <v>0</v>
      </c>
      <c r="C33" s="82">
        <f>SUM(C2:C32)</f>
        <v>69</v>
      </c>
      <c r="D33" s="82">
        <f>SUM(D2:D32)</f>
        <v>0</v>
      </c>
      <c r="E33" s="82">
        <f>SUM(E2:E32)</f>
        <v>94</v>
      </c>
      <c r="F33" s="82">
        <f>SUM(F2:F32)</f>
        <v>20</v>
      </c>
      <c r="G33" s="82">
        <f>SUM(G2:G32)</f>
        <v>369</v>
      </c>
      <c r="H33" s="82">
        <f>SUM(H2:H32)</f>
        <v>35</v>
      </c>
      <c r="I33" s="82">
        <f>SUM(I2:I32)</f>
        <v>13</v>
      </c>
      <c r="J33" s="82">
        <f>SUM(B33:I33)</f>
        <v>600</v>
      </c>
    </row>
  </sheetData>
  <dataConsolidate/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 alignWithMargins="0">
    <oddHeader>&amp;C&amp;A</oddHeader>
    <oddFooter>&amp;CPage &amp;P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3"/>
  <dimension ref="A1:R36"/>
  <sheetViews>
    <sheetView workbookViewId="0">
      <selection activeCell="B1" sqref="B1"/>
    </sheetView>
  </sheetViews>
  <sheetFormatPr baseColWidth="10" defaultColWidth="11.5703125" defaultRowHeight="12.75"/>
  <cols>
    <col min="1" max="1" width="10" bestFit="1" customWidth="1"/>
    <col min="2" max="2" width="12.7109375" bestFit="1" customWidth="1"/>
    <col min="3" max="17" width="11.42578125" customWidth="1"/>
  </cols>
  <sheetData>
    <row r="1" spans="1:17" s="1" customFormat="1">
      <c r="A1" s="3" t="s">
        <v>43</v>
      </c>
      <c r="B1" s="3" t="str">
        <f>Konfiguration!A2</f>
        <v>Lebensmittel</v>
      </c>
      <c r="C1" s="3" t="str">
        <f>Konfiguration!A3</f>
        <v>Hygiene</v>
      </c>
      <c r="D1" s="3" t="str">
        <f>Konfiguration!A4</f>
        <v>Kleidung</v>
      </c>
      <c r="E1" s="3" t="str">
        <f>Konfiguration!A5</f>
        <v>Telefon</v>
      </c>
      <c r="F1" s="3" t="str">
        <f>Konfiguration!A6</f>
        <v>Essen</v>
      </c>
      <c r="G1" s="3" t="str">
        <f>Konfiguration!A7</f>
        <v>Bücher</v>
      </c>
      <c r="H1" s="3" t="str">
        <f>Konfiguration!A8</f>
        <v>Auto</v>
      </c>
      <c r="I1" s="3" t="str">
        <f>Konfiguration!A9</f>
        <v>Benzin</v>
      </c>
      <c r="J1" s="3" t="str">
        <f>Konfiguration!A10</f>
        <v>Haustiere</v>
      </c>
      <c r="K1" s="3" t="str">
        <f>Konfiguration!A11</f>
        <v>Freizeit</v>
      </c>
      <c r="L1" s="3" t="str">
        <f>Konfiguration!A12</f>
        <v>Beruf</v>
      </c>
      <c r="M1" s="3" t="str">
        <f>Konfiguration!A13</f>
        <v>Arzt</v>
      </c>
      <c r="N1" s="3" t="str">
        <f>Konfiguration!A14</f>
        <v>Anschaffungen</v>
      </c>
      <c r="O1" s="3" t="str">
        <f>Konfiguration!A15</f>
        <v>Sonstiges</v>
      </c>
      <c r="P1" s="3" t="s">
        <v>32</v>
      </c>
      <c r="Q1" s="3" t="s">
        <v>44</v>
      </c>
    </row>
    <row r="2" spans="1:17">
      <c r="A2">
        <v>1</v>
      </c>
      <c r="P2" s="17">
        <f t="shared" ref="P2:P32" si="0">SUM(B2:O2)</f>
        <v>0</v>
      </c>
    </row>
    <row r="3" spans="1:17">
      <c r="A3">
        <f t="shared" ref="A3:A32" si="1">A2+1</f>
        <v>2</v>
      </c>
      <c r="P3" s="17">
        <f t="shared" si="0"/>
        <v>0</v>
      </c>
    </row>
    <row r="4" spans="1:17">
      <c r="A4">
        <f t="shared" si="1"/>
        <v>3</v>
      </c>
      <c r="P4" s="17">
        <f t="shared" si="0"/>
        <v>0</v>
      </c>
    </row>
    <row r="5" spans="1:17">
      <c r="A5">
        <f t="shared" si="1"/>
        <v>4</v>
      </c>
      <c r="P5" s="17">
        <f t="shared" si="0"/>
        <v>0</v>
      </c>
    </row>
    <row r="6" spans="1:17">
      <c r="A6">
        <f t="shared" si="1"/>
        <v>5</v>
      </c>
      <c r="P6" s="17">
        <f t="shared" si="0"/>
        <v>0</v>
      </c>
    </row>
    <row r="7" spans="1:17">
      <c r="A7">
        <f t="shared" si="1"/>
        <v>6</v>
      </c>
      <c r="P7" s="17">
        <f t="shared" si="0"/>
        <v>0</v>
      </c>
    </row>
    <row r="8" spans="1:17">
      <c r="A8">
        <f t="shared" si="1"/>
        <v>7</v>
      </c>
      <c r="P8" s="17">
        <f t="shared" si="0"/>
        <v>0</v>
      </c>
    </row>
    <row r="9" spans="1:17">
      <c r="A9">
        <f t="shared" si="1"/>
        <v>8</v>
      </c>
      <c r="P9" s="17">
        <f t="shared" si="0"/>
        <v>0</v>
      </c>
    </row>
    <row r="10" spans="1:17">
      <c r="A10">
        <f t="shared" si="1"/>
        <v>9</v>
      </c>
      <c r="P10" s="17">
        <f t="shared" si="0"/>
        <v>0</v>
      </c>
    </row>
    <row r="11" spans="1:17">
      <c r="A11">
        <f t="shared" si="1"/>
        <v>10</v>
      </c>
      <c r="P11" s="17">
        <f t="shared" si="0"/>
        <v>0</v>
      </c>
    </row>
    <row r="12" spans="1:17">
      <c r="A12">
        <f t="shared" si="1"/>
        <v>11</v>
      </c>
      <c r="P12" s="17">
        <f t="shared" si="0"/>
        <v>0</v>
      </c>
    </row>
    <row r="13" spans="1:17">
      <c r="A13">
        <f t="shared" si="1"/>
        <v>12</v>
      </c>
      <c r="P13" s="17">
        <f t="shared" si="0"/>
        <v>0</v>
      </c>
    </row>
    <row r="14" spans="1:17">
      <c r="A14">
        <f t="shared" si="1"/>
        <v>13</v>
      </c>
      <c r="P14" s="17">
        <f t="shared" si="0"/>
        <v>0</v>
      </c>
    </row>
    <row r="15" spans="1:17">
      <c r="A15">
        <f t="shared" si="1"/>
        <v>14</v>
      </c>
      <c r="P15" s="17">
        <f t="shared" si="0"/>
        <v>0</v>
      </c>
    </row>
    <row r="16" spans="1:17">
      <c r="A16">
        <f t="shared" si="1"/>
        <v>15</v>
      </c>
      <c r="P16" s="17">
        <f t="shared" si="0"/>
        <v>0</v>
      </c>
    </row>
    <row r="17" spans="1:16">
      <c r="A17">
        <f t="shared" si="1"/>
        <v>16</v>
      </c>
      <c r="P17" s="17">
        <f t="shared" si="0"/>
        <v>0</v>
      </c>
    </row>
    <row r="18" spans="1:16">
      <c r="A18">
        <f t="shared" si="1"/>
        <v>17</v>
      </c>
      <c r="P18" s="17">
        <f t="shared" si="0"/>
        <v>0</v>
      </c>
    </row>
    <row r="19" spans="1:16">
      <c r="A19">
        <f t="shared" si="1"/>
        <v>18</v>
      </c>
      <c r="P19" s="17">
        <f t="shared" si="0"/>
        <v>0</v>
      </c>
    </row>
    <row r="20" spans="1:16">
      <c r="A20">
        <f t="shared" si="1"/>
        <v>19</v>
      </c>
      <c r="P20" s="17">
        <f>SUM(B20:O20)</f>
        <v>0</v>
      </c>
    </row>
    <row r="21" spans="1:16">
      <c r="A21">
        <f t="shared" si="1"/>
        <v>20</v>
      </c>
      <c r="P21" s="17">
        <f t="shared" si="0"/>
        <v>0</v>
      </c>
    </row>
    <row r="22" spans="1:16">
      <c r="A22">
        <f t="shared" si="1"/>
        <v>21</v>
      </c>
      <c r="P22" s="17">
        <f t="shared" si="0"/>
        <v>0</v>
      </c>
    </row>
    <row r="23" spans="1:16">
      <c r="A23">
        <f t="shared" si="1"/>
        <v>22</v>
      </c>
      <c r="P23" s="17">
        <f t="shared" si="0"/>
        <v>0</v>
      </c>
    </row>
    <row r="24" spans="1:16">
      <c r="A24">
        <f t="shared" si="1"/>
        <v>23</v>
      </c>
      <c r="P24" s="17">
        <f t="shared" si="0"/>
        <v>0</v>
      </c>
    </row>
    <row r="25" spans="1:16">
      <c r="A25">
        <f t="shared" si="1"/>
        <v>24</v>
      </c>
      <c r="P25" s="17">
        <f t="shared" si="0"/>
        <v>0</v>
      </c>
    </row>
    <row r="26" spans="1:16">
      <c r="A26">
        <f t="shared" si="1"/>
        <v>25</v>
      </c>
      <c r="P26" s="17">
        <f t="shared" si="0"/>
        <v>0</v>
      </c>
    </row>
    <row r="27" spans="1:16">
      <c r="A27">
        <f t="shared" si="1"/>
        <v>26</v>
      </c>
      <c r="P27" s="17">
        <f t="shared" si="0"/>
        <v>0</v>
      </c>
    </row>
    <row r="28" spans="1:16">
      <c r="A28">
        <f t="shared" si="1"/>
        <v>27</v>
      </c>
      <c r="P28" s="17">
        <f t="shared" si="0"/>
        <v>0</v>
      </c>
    </row>
    <row r="29" spans="1:16">
      <c r="A29">
        <f t="shared" si="1"/>
        <v>28</v>
      </c>
      <c r="P29" s="17">
        <f t="shared" si="0"/>
        <v>0</v>
      </c>
    </row>
    <row r="30" spans="1:16">
      <c r="A30">
        <f t="shared" si="1"/>
        <v>29</v>
      </c>
      <c r="P30" s="17">
        <f t="shared" si="0"/>
        <v>0</v>
      </c>
    </row>
    <row r="31" spans="1:16">
      <c r="A31">
        <f t="shared" si="1"/>
        <v>30</v>
      </c>
      <c r="P31" s="17">
        <f t="shared" si="0"/>
        <v>0</v>
      </c>
    </row>
    <row r="32" spans="1:16">
      <c r="A32">
        <f t="shared" si="1"/>
        <v>31</v>
      </c>
      <c r="P32" s="17">
        <f t="shared" si="0"/>
        <v>0</v>
      </c>
    </row>
    <row r="33" spans="1:18" s="9" customFormat="1" ht="25.5">
      <c r="A33" s="10" t="s">
        <v>45</v>
      </c>
      <c r="B33" s="17">
        <f t="shared" ref="B33:O33" si="2">SUM(B2:B32)</f>
        <v>0</v>
      </c>
      <c r="C33" s="17">
        <f t="shared" si="2"/>
        <v>0</v>
      </c>
      <c r="D33" s="17">
        <f t="shared" si="2"/>
        <v>0</v>
      </c>
      <c r="E33" s="17">
        <f t="shared" si="2"/>
        <v>0</v>
      </c>
      <c r="F33" s="17">
        <f t="shared" si="2"/>
        <v>0</v>
      </c>
      <c r="G33" s="17">
        <f t="shared" si="2"/>
        <v>0</v>
      </c>
      <c r="H33" s="17">
        <f t="shared" si="2"/>
        <v>0</v>
      </c>
      <c r="I33" s="17">
        <f t="shared" si="2"/>
        <v>0</v>
      </c>
      <c r="J33" s="17">
        <f t="shared" si="2"/>
        <v>0</v>
      </c>
      <c r="K33" s="17">
        <f t="shared" si="2"/>
        <v>0</v>
      </c>
      <c r="L33" s="17">
        <f t="shared" si="2"/>
        <v>0</v>
      </c>
      <c r="M33" s="17">
        <f t="shared" si="2"/>
        <v>0</v>
      </c>
      <c r="N33" s="17">
        <f t="shared" si="2"/>
        <v>0</v>
      </c>
      <c r="O33" s="17">
        <f t="shared" si="2"/>
        <v>0</v>
      </c>
      <c r="P33" s="17">
        <f>SUM(B33:O33)</f>
        <v>0</v>
      </c>
      <c r="Q33" s="11"/>
    </row>
    <row r="36" spans="1:18" s="14" customFormat="1">
      <c r="A36" s="18"/>
      <c r="B36" s="18"/>
      <c r="C36" s="18"/>
      <c r="D36" s="18"/>
      <c r="E36" s="83" t="s">
        <v>32</v>
      </c>
      <c r="F36" s="84"/>
      <c r="G36" s="19"/>
      <c r="H36" s="83" t="s">
        <v>33</v>
      </c>
      <c r="I36" s="83"/>
      <c r="J36" s="18"/>
      <c r="K36" s="83" t="s">
        <v>36</v>
      </c>
      <c r="L36" s="84"/>
      <c r="M36" s="18"/>
      <c r="N36" s="18"/>
      <c r="O36" s="18"/>
      <c r="P36" s="18"/>
      <c r="Q36" s="18"/>
      <c r="R36" s="18"/>
    </row>
  </sheetData>
  <mergeCells count="3">
    <mergeCell ref="E36:F36"/>
    <mergeCell ref="H36:I36"/>
    <mergeCell ref="K36:L36"/>
  </mergeCells>
  <hyperlinks>
    <hyperlink ref="E36" location="Gesamt!A1" display="Gesamt"/>
    <hyperlink ref="H36" location="Einnahmen!A1" display="Einnahmen"/>
    <hyperlink ref="K36" location="AusgabenFix!A1" display="AusgabenFix"/>
  </hyperlink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 alignWithMargins="0">
    <oddHeader>&amp;C&amp;A</oddHeader>
    <oddFooter>&amp;CPage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4"/>
  <dimension ref="A1:B21"/>
  <sheetViews>
    <sheetView workbookViewId="0">
      <selection activeCell="A18" sqref="A18"/>
    </sheetView>
  </sheetViews>
  <sheetFormatPr baseColWidth="10" defaultRowHeight="12.75"/>
  <sheetData>
    <row r="1" spans="1:2">
      <c r="A1" t="s">
        <v>74</v>
      </c>
      <c r="B1" t="s">
        <v>75</v>
      </c>
    </row>
    <row r="2" spans="1:2">
      <c r="A2" t="s">
        <v>73</v>
      </c>
      <c r="B2" t="s">
        <v>43</v>
      </c>
    </row>
    <row r="3" spans="1:2">
      <c r="A3" t="s">
        <v>76</v>
      </c>
      <c r="B3" t="s">
        <v>32</v>
      </c>
    </row>
    <row r="4" spans="1:2">
      <c r="A4" t="s">
        <v>77</v>
      </c>
      <c r="B4">
        <v>1</v>
      </c>
    </row>
    <row r="5" spans="1:2">
      <c r="A5" t="s">
        <v>78</v>
      </c>
      <c r="B5">
        <v>38</v>
      </c>
    </row>
    <row r="6" spans="1:2">
      <c r="A6" t="s">
        <v>92</v>
      </c>
      <c r="B6" t="s">
        <v>92</v>
      </c>
    </row>
    <row r="7" spans="1:2">
      <c r="A7" t="s">
        <v>93</v>
      </c>
      <c r="B7" t="s">
        <v>93</v>
      </c>
    </row>
    <row r="8" spans="1:2">
      <c r="A8" t="s">
        <v>94</v>
      </c>
      <c r="B8" t="s">
        <v>94</v>
      </c>
    </row>
    <row r="9" spans="1:2">
      <c r="A9" t="s">
        <v>3</v>
      </c>
      <c r="B9" t="s">
        <v>3</v>
      </c>
    </row>
    <row r="10" spans="1:2">
      <c r="A10" t="s">
        <v>95</v>
      </c>
      <c r="B10" t="s">
        <v>95</v>
      </c>
    </row>
    <row r="11" spans="1:2">
      <c r="A11" t="s">
        <v>96</v>
      </c>
      <c r="B11" t="s">
        <v>96</v>
      </c>
    </row>
    <row r="12" spans="1:2">
      <c r="A12" t="s">
        <v>97</v>
      </c>
      <c r="B12" t="s">
        <v>97</v>
      </c>
    </row>
    <row r="13" spans="1:2">
      <c r="A13" t="s">
        <v>7</v>
      </c>
      <c r="B13" t="s">
        <v>7</v>
      </c>
    </row>
    <row r="14" spans="1:2">
      <c r="A14" t="s">
        <v>8</v>
      </c>
      <c r="B14" t="s">
        <v>8</v>
      </c>
    </row>
    <row r="15" spans="1:2">
      <c r="A15" t="s">
        <v>98</v>
      </c>
      <c r="B15" t="s">
        <v>98</v>
      </c>
    </row>
    <row r="16" spans="1:2">
      <c r="A16" t="s">
        <v>10</v>
      </c>
      <c r="B16" t="s">
        <v>10</v>
      </c>
    </row>
    <row r="17" spans="1:2">
      <c r="A17" t="s">
        <v>99</v>
      </c>
      <c r="B17" t="s">
        <v>99</v>
      </c>
    </row>
    <row r="18" spans="1:2">
      <c r="A18" t="s">
        <v>117</v>
      </c>
      <c r="B18" t="s">
        <v>116</v>
      </c>
    </row>
    <row r="19" spans="1:2">
      <c r="A19" t="s">
        <v>110</v>
      </c>
      <c r="B19" t="s">
        <v>111</v>
      </c>
    </row>
    <row r="20" spans="1:2">
      <c r="A20" t="s">
        <v>112</v>
      </c>
      <c r="B20" t="s">
        <v>113</v>
      </c>
    </row>
    <row r="21" spans="1:2">
      <c r="A21" t="s">
        <v>114</v>
      </c>
      <c r="B21" t="s">
        <v>115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5"/>
  <dimension ref="A1:Q32"/>
  <sheetViews>
    <sheetView workbookViewId="0"/>
  </sheetViews>
  <sheetFormatPr baseColWidth="10" defaultColWidth="11.5703125" defaultRowHeight="12.75"/>
  <sheetData>
    <row r="1" spans="1:14" s="15" customFormat="1">
      <c r="B1" s="16" t="s">
        <v>0</v>
      </c>
      <c r="C1" s="16" t="s">
        <v>1</v>
      </c>
      <c r="D1" s="16" t="s">
        <v>2</v>
      </c>
      <c r="E1" s="16" t="s">
        <v>3</v>
      </c>
      <c r="F1" s="16" t="s">
        <v>4</v>
      </c>
      <c r="G1" s="16" t="s">
        <v>5</v>
      </c>
      <c r="H1" s="16" t="s">
        <v>6</v>
      </c>
      <c r="I1" s="16" t="s">
        <v>7</v>
      </c>
      <c r="J1" s="16" t="s">
        <v>8</v>
      </c>
      <c r="K1" s="16" t="s">
        <v>9</v>
      </c>
      <c r="L1" s="16" t="s">
        <v>10</v>
      </c>
      <c r="M1" s="16" t="s">
        <v>11</v>
      </c>
      <c r="N1" s="15" t="s">
        <v>32</v>
      </c>
    </row>
    <row r="2" spans="1:14" s="2" customFormat="1">
      <c r="A2" t="str">
        <f>Konfiguration!A2</f>
        <v>Lebensmittel</v>
      </c>
      <c r="B2">
        <f>Januar!B33</f>
        <v>0</v>
      </c>
      <c r="C2">
        <f>Februar!B33</f>
        <v>0</v>
      </c>
      <c r="D2">
        <f>März!B33</f>
        <v>0</v>
      </c>
      <c r="E2">
        <f>April!B33</f>
        <v>0</v>
      </c>
      <c r="F2">
        <f>Mai!B33</f>
        <v>0</v>
      </c>
      <c r="G2">
        <f>Juni!B33</f>
        <v>0</v>
      </c>
      <c r="H2">
        <f>Juli!B33</f>
        <v>0</v>
      </c>
      <c r="I2">
        <f>August!B33</f>
        <v>0</v>
      </c>
      <c r="J2" t="e">
        <f>September!#REF!</f>
        <v>#REF!</v>
      </c>
      <c r="K2">
        <f>Oktober!B33</f>
        <v>0</v>
      </c>
      <c r="L2">
        <f>November!B33</f>
        <v>0</v>
      </c>
      <c r="M2">
        <f>Dezember!B33</f>
        <v>0</v>
      </c>
      <c r="N2" t="e">
        <f>SUM(B2:M2)</f>
        <v>#REF!</v>
      </c>
    </row>
    <row r="3" spans="1:14">
      <c r="A3" t="str">
        <f>Konfiguration!A3</f>
        <v>Hygiene</v>
      </c>
      <c r="B3">
        <f>Januar!C33</f>
        <v>0</v>
      </c>
      <c r="C3">
        <f>Februar!C33</f>
        <v>0</v>
      </c>
      <c r="D3">
        <f>März!C33</f>
        <v>0</v>
      </c>
      <c r="E3">
        <f>April!C33</f>
        <v>0</v>
      </c>
      <c r="F3">
        <f>Mai!C33</f>
        <v>0</v>
      </c>
      <c r="G3">
        <f>Juni!C33</f>
        <v>0</v>
      </c>
      <c r="H3">
        <f>Juli!C33</f>
        <v>0</v>
      </c>
      <c r="I3">
        <f>August!C33</f>
        <v>0</v>
      </c>
      <c r="J3" t="e">
        <f>September!#REF!</f>
        <v>#REF!</v>
      </c>
      <c r="K3">
        <f>Oktober!C33</f>
        <v>0</v>
      </c>
      <c r="L3">
        <f>November!C33</f>
        <v>0</v>
      </c>
      <c r="M3">
        <f>Dezember!C33</f>
        <v>0</v>
      </c>
      <c r="N3" t="e">
        <f t="shared" ref="N3:N15" si="0">SUM(B3:M3)</f>
        <v>#REF!</v>
      </c>
    </row>
    <row r="4" spans="1:14">
      <c r="A4" t="str">
        <f>Konfiguration!A4</f>
        <v>Kleidung</v>
      </c>
      <c r="B4">
        <f>Januar!D33</f>
        <v>0</v>
      </c>
      <c r="C4">
        <f>Februar!D33</f>
        <v>0</v>
      </c>
      <c r="D4">
        <f>März!D33</f>
        <v>0</v>
      </c>
      <c r="E4">
        <f>April!D33</f>
        <v>0</v>
      </c>
      <c r="F4">
        <f>Mai!D33</f>
        <v>0</v>
      </c>
      <c r="G4">
        <f>Juni!D33</f>
        <v>0</v>
      </c>
      <c r="H4">
        <f>Juli!D33</f>
        <v>0</v>
      </c>
      <c r="I4">
        <f>August!D33</f>
        <v>0</v>
      </c>
      <c r="J4" t="e">
        <f>September!#REF!</f>
        <v>#REF!</v>
      </c>
      <c r="K4">
        <f>Oktober!D33</f>
        <v>0</v>
      </c>
      <c r="L4">
        <f>November!D33</f>
        <v>0</v>
      </c>
      <c r="M4">
        <f>Dezember!D33</f>
        <v>0</v>
      </c>
      <c r="N4" t="e">
        <f t="shared" si="0"/>
        <v>#REF!</v>
      </c>
    </row>
    <row r="5" spans="1:14">
      <c r="A5" t="str">
        <f>Konfiguration!A5</f>
        <v>Telefon</v>
      </c>
      <c r="B5">
        <f>Januar!E33</f>
        <v>0</v>
      </c>
      <c r="C5">
        <f>Februar!E33</f>
        <v>0</v>
      </c>
      <c r="D5">
        <f>März!E33</f>
        <v>0</v>
      </c>
      <c r="E5">
        <f>April!E33</f>
        <v>0</v>
      </c>
      <c r="F5">
        <f>Mai!E33</f>
        <v>0</v>
      </c>
      <c r="G5">
        <f>Juni!E33</f>
        <v>0</v>
      </c>
      <c r="H5">
        <f>Juli!E33</f>
        <v>0</v>
      </c>
      <c r="I5">
        <f>August!E33</f>
        <v>0</v>
      </c>
      <c r="J5" t="e">
        <f>September!#REF!</f>
        <v>#REF!</v>
      </c>
      <c r="K5">
        <f>Oktober!E33</f>
        <v>0</v>
      </c>
      <c r="L5">
        <f>November!E33</f>
        <v>0</v>
      </c>
      <c r="M5">
        <f>Dezember!E33</f>
        <v>0</v>
      </c>
      <c r="N5" t="e">
        <f t="shared" si="0"/>
        <v>#REF!</v>
      </c>
    </row>
    <row r="6" spans="1:14">
      <c r="A6" t="str">
        <f>Konfiguration!A6</f>
        <v>Essen</v>
      </c>
      <c r="B6">
        <f>Januar!F33</f>
        <v>0</v>
      </c>
      <c r="C6">
        <f>Februar!F33</f>
        <v>0</v>
      </c>
      <c r="D6">
        <f>März!F33</f>
        <v>0</v>
      </c>
      <c r="E6">
        <f>April!F33</f>
        <v>0</v>
      </c>
      <c r="F6">
        <f>Mai!F33</f>
        <v>0</v>
      </c>
      <c r="G6">
        <f>Juni!F33</f>
        <v>0</v>
      </c>
      <c r="H6">
        <f>Juli!F33</f>
        <v>0</v>
      </c>
      <c r="I6">
        <f>August!F33</f>
        <v>0</v>
      </c>
      <c r="J6" t="e">
        <f>September!#REF!</f>
        <v>#REF!</v>
      </c>
      <c r="K6">
        <f>Oktober!F33</f>
        <v>0</v>
      </c>
      <c r="L6">
        <f>November!F33</f>
        <v>0</v>
      </c>
      <c r="M6">
        <f>Dezember!F33</f>
        <v>0</v>
      </c>
      <c r="N6" t="e">
        <f t="shared" si="0"/>
        <v>#REF!</v>
      </c>
    </row>
    <row r="7" spans="1:14">
      <c r="A7" t="str">
        <f>Konfiguration!A7</f>
        <v>Bücher</v>
      </c>
      <c r="B7">
        <f>Januar!G33</f>
        <v>0</v>
      </c>
      <c r="C7">
        <f>Februar!G33</f>
        <v>0</v>
      </c>
      <c r="D7">
        <f>März!G33</f>
        <v>0</v>
      </c>
      <c r="E7">
        <f>April!G33</f>
        <v>0</v>
      </c>
      <c r="F7">
        <f>Mai!G33</f>
        <v>0</v>
      </c>
      <c r="G7">
        <f>Juni!G33</f>
        <v>0</v>
      </c>
      <c r="H7">
        <f>Juli!G33</f>
        <v>0</v>
      </c>
      <c r="I7">
        <f>August!G33</f>
        <v>0</v>
      </c>
      <c r="J7" t="e">
        <f>September!#REF!</f>
        <v>#REF!</v>
      </c>
      <c r="K7">
        <f>Oktober!G33</f>
        <v>0</v>
      </c>
      <c r="L7">
        <f>November!G33</f>
        <v>0</v>
      </c>
      <c r="M7">
        <f>Dezember!G33</f>
        <v>0</v>
      </c>
      <c r="N7" t="e">
        <f t="shared" si="0"/>
        <v>#REF!</v>
      </c>
    </row>
    <row r="8" spans="1:14">
      <c r="A8" t="str">
        <f>Konfiguration!A8</f>
        <v>Auto</v>
      </c>
      <c r="B8">
        <f>Januar!H33</f>
        <v>0</v>
      </c>
      <c r="C8">
        <f>Februar!H33</f>
        <v>0</v>
      </c>
      <c r="D8">
        <f>März!H33</f>
        <v>0</v>
      </c>
      <c r="E8">
        <f>April!H33</f>
        <v>0</v>
      </c>
      <c r="F8">
        <f>Mai!H33</f>
        <v>0</v>
      </c>
      <c r="G8">
        <f>Juni!H33</f>
        <v>0</v>
      </c>
      <c r="H8">
        <f>Juli!H33</f>
        <v>0</v>
      </c>
      <c r="I8">
        <f>August!H33</f>
        <v>0</v>
      </c>
      <c r="J8" t="e">
        <f>September!#REF!</f>
        <v>#REF!</v>
      </c>
      <c r="K8">
        <f>Oktober!H33</f>
        <v>0</v>
      </c>
      <c r="L8">
        <f>November!H33</f>
        <v>0</v>
      </c>
      <c r="M8">
        <f>Dezember!H33</f>
        <v>0</v>
      </c>
      <c r="N8" t="e">
        <f t="shared" si="0"/>
        <v>#REF!</v>
      </c>
    </row>
    <row r="9" spans="1:14">
      <c r="A9" t="str">
        <f>Konfiguration!A9</f>
        <v>Benzin</v>
      </c>
      <c r="B9">
        <f>Januar!I33</f>
        <v>0</v>
      </c>
      <c r="C9">
        <f>Februar!I33</f>
        <v>0</v>
      </c>
      <c r="D9">
        <f>März!I33</f>
        <v>0</v>
      </c>
      <c r="E9">
        <f>April!I33</f>
        <v>0</v>
      </c>
      <c r="F9">
        <f>Mai!I33</f>
        <v>0</v>
      </c>
      <c r="G9">
        <f>Juni!I33</f>
        <v>0</v>
      </c>
      <c r="H9">
        <f>Juli!I33</f>
        <v>0</v>
      </c>
      <c r="I9">
        <f>August!I33</f>
        <v>0</v>
      </c>
      <c r="J9" t="e">
        <f>September!#REF!</f>
        <v>#REF!</v>
      </c>
      <c r="K9">
        <f>Oktober!I33</f>
        <v>0</v>
      </c>
      <c r="L9">
        <f>November!I33</f>
        <v>0</v>
      </c>
      <c r="M9">
        <f>Dezember!I33</f>
        <v>0</v>
      </c>
      <c r="N9" t="e">
        <f t="shared" si="0"/>
        <v>#REF!</v>
      </c>
    </row>
    <row r="10" spans="1:14">
      <c r="A10" t="str">
        <f>Konfiguration!A10</f>
        <v>Haustiere</v>
      </c>
      <c r="B10">
        <f>Januar!J33</f>
        <v>0</v>
      </c>
      <c r="C10">
        <f>Februar!J33</f>
        <v>0</v>
      </c>
      <c r="D10">
        <f>März!J33</f>
        <v>0</v>
      </c>
      <c r="E10">
        <f>April!J33</f>
        <v>0</v>
      </c>
      <c r="F10">
        <f>Mai!J33</f>
        <v>0</v>
      </c>
      <c r="G10">
        <f>Juni!J33</f>
        <v>0</v>
      </c>
      <c r="H10">
        <f>Juli!J33</f>
        <v>0</v>
      </c>
      <c r="I10">
        <f>August!J33</f>
        <v>0</v>
      </c>
      <c r="J10" t="e">
        <f>September!#REF!</f>
        <v>#REF!</v>
      </c>
      <c r="K10">
        <f>Oktober!J33</f>
        <v>0</v>
      </c>
      <c r="L10">
        <f>November!J33</f>
        <v>0</v>
      </c>
      <c r="M10">
        <f>Dezember!J33</f>
        <v>0</v>
      </c>
      <c r="N10" t="e">
        <f t="shared" si="0"/>
        <v>#REF!</v>
      </c>
    </row>
    <row r="11" spans="1:14">
      <c r="A11" t="str">
        <f>Konfiguration!A11</f>
        <v>Freizeit</v>
      </c>
      <c r="B11">
        <f>Januar!K33</f>
        <v>0</v>
      </c>
      <c r="C11">
        <f>Februar!K33</f>
        <v>0</v>
      </c>
      <c r="D11">
        <f>März!K33</f>
        <v>0</v>
      </c>
      <c r="E11">
        <f>April!K33</f>
        <v>0</v>
      </c>
      <c r="F11">
        <f>Mai!K33</f>
        <v>0</v>
      </c>
      <c r="G11">
        <f>Juni!K33</f>
        <v>0</v>
      </c>
      <c r="H11">
        <f>Juli!K33</f>
        <v>0</v>
      </c>
      <c r="I11">
        <f>August!K33</f>
        <v>0</v>
      </c>
      <c r="J11" t="e">
        <f>September!#REF!</f>
        <v>#REF!</v>
      </c>
      <c r="K11">
        <f>Oktober!K33</f>
        <v>0</v>
      </c>
      <c r="L11">
        <f>November!K33</f>
        <v>0</v>
      </c>
      <c r="M11">
        <f>Dezember!K33</f>
        <v>0</v>
      </c>
      <c r="N11" t="e">
        <f t="shared" si="0"/>
        <v>#REF!</v>
      </c>
    </row>
    <row r="12" spans="1:14">
      <c r="A12" t="str">
        <f>Konfiguration!A12</f>
        <v>Beruf</v>
      </c>
      <c r="B12">
        <f>Januar!L33</f>
        <v>0</v>
      </c>
      <c r="C12">
        <f>Februar!L33</f>
        <v>0</v>
      </c>
      <c r="D12">
        <f>März!L33</f>
        <v>0</v>
      </c>
      <c r="E12">
        <f>April!L33</f>
        <v>0</v>
      </c>
      <c r="F12">
        <f>Mai!L33</f>
        <v>0</v>
      </c>
      <c r="G12">
        <f>Juni!L33</f>
        <v>0</v>
      </c>
      <c r="H12">
        <f>Juli!L33</f>
        <v>0</v>
      </c>
      <c r="I12">
        <f>August!L33</f>
        <v>0</v>
      </c>
      <c r="J12" t="e">
        <f>September!#REF!</f>
        <v>#REF!</v>
      </c>
      <c r="K12">
        <f>Oktober!L33</f>
        <v>0</v>
      </c>
      <c r="L12">
        <f>November!L33</f>
        <v>0</v>
      </c>
      <c r="M12">
        <f>Dezember!L33</f>
        <v>0</v>
      </c>
      <c r="N12" t="e">
        <f t="shared" si="0"/>
        <v>#REF!</v>
      </c>
    </row>
    <row r="13" spans="1:14">
      <c r="A13" t="str">
        <f>Konfiguration!A13</f>
        <v>Arzt</v>
      </c>
      <c r="B13">
        <f>Januar!M33</f>
        <v>0</v>
      </c>
      <c r="C13">
        <f>Februar!M33</f>
        <v>0</v>
      </c>
      <c r="D13">
        <f>März!M33</f>
        <v>0</v>
      </c>
      <c r="E13">
        <f>April!M33</f>
        <v>0</v>
      </c>
      <c r="F13">
        <f>Mai!M33</f>
        <v>0</v>
      </c>
      <c r="G13">
        <f>Juni!M33</f>
        <v>0</v>
      </c>
      <c r="H13">
        <f>Juli!M33</f>
        <v>0</v>
      </c>
      <c r="I13">
        <f>August!M33</f>
        <v>0</v>
      </c>
      <c r="J13" t="e">
        <f>September!#REF!</f>
        <v>#REF!</v>
      </c>
      <c r="K13">
        <f>Oktober!M33</f>
        <v>0</v>
      </c>
      <c r="L13">
        <f>November!M33</f>
        <v>0</v>
      </c>
      <c r="M13">
        <f>Dezember!M33</f>
        <v>0</v>
      </c>
      <c r="N13" t="e">
        <f t="shared" si="0"/>
        <v>#REF!</v>
      </c>
    </row>
    <row r="14" spans="1:14">
      <c r="A14" t="str">
        <f>Konfiguration!A14</f>
        <v>Anschaffungen</v>
      </c>
      <c r="B14">
        <f>Januar!N33</f>
        <v>0</v>
      </c>
      <c r="C14">
        <f>Februar!N33</f>
        <v>0</v>
      </c>
      <c r="D14">
        <f>März!N33</f>
        <v>0</v>
      </c>
      <c r="E14">
        <f>April!N33</f>
        <v>0</v>
      </c>
      <c r="F14">
        <f>Mai!N33</f>
        <v>0</v>
      </c>
      <c r="G14">
        <f>Juni!N33</f>
        <v>0</v>
      </c>
      <c r="H14">
        <f>Juli!N33</f>
        <v>0</v>
      </c>
      <c r="I14">
        <f>August!N33</f>
        <v>0</v>
      </c>
      <c r="J14" t="e">
        <f>September!#REF!</f>
        <v>#REF!</v>
      </c>
      <c r="K14">
        <f>Oktober!N33</f>
        <v>0</v>
      </c>
      <c r="L14">
        <f>November!N33</f>
        <v>0</v>
      </c>
      <c r="M14">
        <f>Dezember!N33</f>
        <v>0</v>
      </c>
      <c r="N14" t="e">
        <f t="shared" si="0"/>
        <v>#REF!</v>
      </c>
    </row>
    <row r="15" spans="1:14">
      <c r="A15" t="str">
        <f>Konfiguration!A15</f>
        <v>Sonstiges</v>
      </c>
      <c r="B15">
        <f>Januar!O33</f>
        <v>0</v>
      </c>
      <c r="C15">
        <f>Februar!O33</f>
        <v>0</v>
      </c>
      <c r="D15">
        <f>März!O33</f>
        <v>0</v>
      </c>
      <c r="E15">
        <f>April!O33</f>
        <v>0</v>
      </c>
      <c r="F15">
        <f>Mai!O33</f>
        <v>0</v>
      </c>
      <c r="G15">
        <f>Juni!O33</f>
        <v>0</v>
      </c>
      <c r="H15">
        <f>Juli!O33</f>
        <v>0</v>
      </c>
      <c r="I15">
        <f>August!O33</f>
        <v>0</v>
      </c>
      <c r="J15" t="e">
        <f>September!#REF!</f>
        <v>#REF!</v>
      </c>
      <c r="K15">
        <f>Oktober!O33</f>
        <v>0</v>
      </c>
      <c r="L15">
        <f>November!O33</f>
        <v>0</v>
      </c>
      <c r="M15">
        <f>Dezember!O33</f>
        <v>0</v>
      </c>
      <c r="N15" t="e">
        <f t="shared" si="0"/>
        <v>#REF!</v>
      </c>
    </row>
    <row r="16" spans="1:14" s="15" customFormat="1">
      <c r="A16" s="3" t="s">
        <v>32</v>
      </c>
      <c r="B16" s="15">
        <f t="shared" ref="B16:M16" si="1">SUM(B2:B15)</f>
        <v>0</v>
      </c>
      <c r="C16" s="15">
        <f t="shared" si="1"/>
        <v>0</v>
      </c>
      <c r="D16" s="15">
        <f t="shared" si="1"/>
        <v>0</v>
      </c>
      <c r="E16" s="15">
        <f t="shared" si="1"/>
        <v>0</v>
      </c>
      <c r="F16" s="15">
        <f t="shared" si="1"/>
        <v>0</v>
      </c>
      <c r="G16" s="15">
        <f t="shared" si="1"/>
        <v>0</v>
      </c>
      <c r="H16" s="15">
        <f t="shared" si="1"/>
        <v>0</v>
      </c>
      <c r="I16" s="15">
        <f t="shared" si="1"/>
        <v>0</v>
      </c>
      <c r="J16" s="15" t="e">
        <f t="shared" si="1"/>
        <v>#REF!</v>
      </c>
      <c r="K16" s="15">
        <f t="shared" si="1"/>
        <v>0</v>
      </c>
      <c r="L16" s="15">
        <f t="shared" si="1"/>
        <v>0</v>
      </c>
      <c r="M16" s="15">
        <f t="shared" si="1"/>
        <v>0</v>
      </c>
      <c r="N16" s="15" t="e">
        <f>SUM(B16:M16)</f>
        <v>#REF!</v>
      </c>
    </row>
    <row r="22" spans="1:17" s="15" customFormat="1">
      <c r="B22" s="16" t="s">
        <v>0</v>
      </c>
      <c r="C22" s="16" t="s">
        <v>1</v>
      </c>
      <c r="D22" s="16" t="s">
        <v>2</v>
      </c>
      <c r="E22" s="16" t="s">
        <v>3</v>
      </c>
      <c r="F22" s="16" t="s">
        <v>4</v>
      </c>
      <c r="G22" s="16" t="s">
        <v>5</v>
      </c>
      <c r="H22" s="16" t="s">
        <v>6</v>
      </c>
      <c r="I22" s="16" t="s">
        <v>7</v>
      </c>
      <c r="J22" s="16" t="s">
        <v>8</v>
      </c>
      <c r="K22" s="16" t="s">
        <v>9</v>
      </c>
      <c r="L22" s="16" t="s">
        <v>10</v>
      </c>
      <c r="M22" s="16" t="s">
        <v>11</v>
      </c>
      <c r="N22" s="15" t="s">
        <v>32</v>
      </c>
    </row>
    <row r="23" spans="1:17">
      <c r="A23" t="s">
        <v>33</v>
      </c>
      <c r="B23">
        <f>Einnahmen!B6</f>
        <v>0</v>
      </c>
      <c r="C23">
        <f>Einnahmen!C6</f>
        <v>0</v>
      </c>
      <c r="D23">
        <f>Einnahmen!D6</f>
        <v>0</v>
      </c>
      <c r="E23">
        <f>Einnahmen!E6</f>
        <v>0</v>
      </c>
      <c r="F23">
        <f>Einnahmen!F6</f>
        <v>0</v>
      </c>
      <c r="G23">
        <f>Einnahmen!G6</f>
        <v>0</v>
      </c>
      <c r="H23">
        <f>Einnahmen!H6</f>
        <v>0</v>
      </c>
      <c r="I23">
        <f>Einnahmen!I6</f>
        <v>0</v>
      </c>
      <c r="J23">
        <f>Einnahmen!J6</f>
        <v>0</v>
      </c>
      <c r="K23">
        <f>Einnahmen!K6</f>
        <v>0</v>
      </c>
      <c r="L23">
        <f>Einnahmen!L6</f>
        <v>0</v>
      </c>
      <c r="M23">
        <f>Einnahmen!M6</f>
        <v>0</v>
      </c>
      <c r="N23">
        <f t="shared" ref="N23:N25" si="2">SUM(B23:M23)</f>
        <v>0</v>
      </c>
    </row>
    <row r="24" spans="1:17">
      <c r="A24" t="s">
        <v>34</v>
      </c>
      <c r="B24">
        <f t="shared" ref="B24:M24" si="3">B16</f>
        <v>0</v>
      </c>
      <c r="C24">
        <f t="shared" si="3"/>
        <v>0</v>
      </c>
      <c r="D24">
        <f t="shared" si="3"/>
        <v>0</v>
      </c>
      <c r="E24">
        <f t="shared" si="3"/>
        <v>0</v>
      </c>
      <c r="F24">
        <f t="shared" si="3"/>
        <v>0</v>
      </c>
      <c r="G24">
        <f t="shared" si="3"/>
        <v>0</v>
      </c>
      <c r="H24">
        <f t="shared" si="3"/>
        <v>0</v>
      </c>
      <c r="I24">
        <f t="shared" si="3"/>
        <v>0</v>
      </c>
      <c r="J24" t="e">
        <f t="shared" si="3"/>
        <v>#REF!</v>
      </c>
      <c r="K24">
        <f t="shared" si="3"/>
        <v>0</v>
      </c>
      <c r="L24">
        <f t="shared" si="3"/>
        <v>0</v>
      </c>
      <c r="M24">
        <f t="shared" si="3"/>
        <v>0</v>
      </c>
      <c r="N24" t="e">
        <f t="shared" si="2"/>
        <v>#REF!</v>
      </c>
    </row>
    <row r="25" spans="1:17">
      <c r="A25" t="s">
        <v>35</v>
      </c>
      <c r="B25">
        <f>AusgabenFix!B10</f>
        <v>0</v>
      </c>
      <c r="C25">
        <f>AusgabenFix!C10</f>
        <v>0</v>
      </c>
      <c r="D25">
        <f>AusgabenFix!D10</f>
        <v>0</v>
      </c>
      <c r="E25">
        <f>AusgabenFix!E10</f>
        <v>0</v>
      </c>
      <c r="F25">
        <f>AusgabenFix!F10</f>
        <v>0</v>
      </c>
      <c r="G25">
        <f>AusgabenFix!G10</f>
        <v>0</v>
      </c>
      <c r="H25">
        <f>AusgabenFix!H10</f>
        <v>0</v>
      </c>
      <c r="I25">
        <f>AusgabenFix!I10</f>
        <v>0</v>
      </c>
      <c r="J25">
        <f>AusgabenFix!J10</f>
        <v>0</v>
      </c>
      <c r="K25">
        <f>AusgabenFix!K10</f>
        <v>0</v>
      </c>
      <c r="L25">
        <f>AusgabenFix!L10</f>
        <v>0</v>
      </c>
      <c r="M25">
        <f>AusgabenFix!M10</f>
        <v>0</v>
      </c>
      <c r="N25">
        <f t="shared" si="2"/>
        <v>0</v>
      </c>
    </row>
    <row r="26" spans="1:17" s="15" customFormat="1">
      <c r="A26" s="3" t="s">
        <v>32</v>
      </c>
      <c r="B26" s="15">
        <f t="shared" ref="B26:M26" si="4">B23-B24-B25</f>
        <v>0</v>
      </c>
      <c r="C26" s="15">
        <f t="shared" si="4"/>
        <v>0</v>
      </c>
      <c r="D26" s="15">
        <f t="shared" si="4"/>
        <v>0</v>
      </c>
      <c r="E26" s="15">
        <f t="shared" si="4"/>
        <v>0</v>
      </c>
      <c r="F26" s="15">
        <f t="shared" si="4"/>
        <v>0</v>
      </c>
      <c r="G26" s="15">
        <f t="shared" si="4"/>
        <v>0</v>
      </c>
      <c r="H26" s="15">
        <f t="shared" si="4"/>
        <v>0</v>
      </c>
      <c r="I26" s="15">
        <f t="shared" si="4"/>
        <v>0</v>
      </c>
      <c r="J26" s="15" t="e">
        <f t="shared" si="4"/>
        <v>#REF!</v>
      </c>
      <c r="K26" s="15">
        <f t="shared" si="4"/>
        <v>0</v>
      </c>
      <c r="L26" s="15">
        <f t="shared" si="4"/>
        <v>0</v>
      </c>
      <c r="M26" s="15">
        <f t="shared" si="4"/>
        <v>0</v>
      </c>
      <c r="N26" s="15" t="e">
        <f>SUM(B26:M26)</f>
        <v>#REF!</v>
      </c>
    </row>
    <row r="29" spans="1:17" s="14" customFormat="1">
      <c r="A29" s="18"/>
      <c r="B29" s="18"/>
      <c r="C29" s="18"/>
      <c r="D29" s="83" t="s">
        <v>32</v>
      </c>
      <c r="E29" s="84"/>
      <c r="F29" s="19"/>
      <c r="G29" s="83" t="s">
        <v>33</v>
      </c>
      <c r="H29" s="83"/>
      <c r="I29" s="18"/>
      <c r="J29" s="83" t="s">
        <v>36</v>
      </c>
      <c r="K29" s="84"/>
      <c r="L29" s="18"/>
      <c r="M29" s="18"/>
      <c r="N29" s="18"/>
      <c r="O29" s="18"/>
      <c r="P29" s="18"/>
      <c r="Q29" s="18"/>
    </row>
    <row r="32" spans="1:17" s="1" customFormat="1">
      <c r="G32" s="83" t="s">
        <v>51</v>
      </c>
      <c r="H32" s="84"/>
    </row>
  </sheetData>
  <mergeCells count="4">
    <mergeCell ref="D29:E29"/>
    <mergeCell ref="G29:H29"/>
    <mergeCell ref="J29:K29"/>
    <mergeCell ref="G32:H32"/>
  </mergeCells>
  <hyperlinks>
    <hyperlink ref="B1" location="Januar!A1" display="Januar"/>
    <hyperlink ref="C1" location="Februar!A1" display="Februar"/>
    <hyperlink ref="D1" location="März!A1" display="März"/>
    <hyperlink ref="E1" location="April!A1" display="April"/>
    <hyperlink ref="F1" location="Mai!A1" display="Mai"/>
    <hyperlink ref="G1" location="Juni!A1" display="Juni"/>
    <hyperlink ref="H1" location="Juli!A1" display="Juli"/>
    <hyperlink ref="I1" location="August!A1" display="August"/>
    <hyperlink ref="J1" location="September!A1" display="September"/>
    <hyperlink ref="K1" location="Oktober!A1" display="Oktober"/>
    <hyperlink ref="L1" location="November!A1" display="November"/>
    <hyperlink ref="M1" location="Dezember!A1" display="Dezember"/>
    <hyperlink ref="B22" location="Januar!A1" display="Januar"/>
    <hyperlink ref="C22" location="Februar!A1" display="Februar"/>
    <hyperlink ref="D22" location="März!A1" display="März"/>
    <hyperlink ref="E22" location="April!A1" display="April"/>
    <hyperlink ref="F22" location="Mai!A1" display="Mai"/>
    <hyperlink ref="G22" location="Juni!A1" display="Juni"/>
    <hyperlink ref="H22" location="Juli!A1" display="Juli"/>
    <hyperlink ref="I22" location="August!A1" display="August"/>
    <hyperlink ref="J22" location="September!A1" display="September"/>
    <hyperlink ref="K22" location="Oktober!A1" display="Oktober"/>
    <hyperlink ref="L22" location="November!A1" display="November"/>
    <hyperlink ref="M22" location="Dezember!A1" display="Dezember"/>
    <hyperlink ref="G32" location="Finanzübersicht!A1" display="Finanzen"/>
    <hyperlink ref="D29" location="Gesamt!A1" display="Gesamt"/>
    <hyperlink ref="G29" location="Einnahmen!A1" display="Einnahmen"/>
    <hyperlink ref="J29" location="AusgabenFix!A1" display="AusgabenFix"/>
  </hyperlinks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6"/>
  <dimension ref="A1:Q9"/>
  <sheetViews>
    <sheetView workbookViewId="0"/>
  </sheetViews>
  <sheetFormatPr baseColWidth="10" defaultColWidth="11.5703125" defaultRowHeight="12.75"/>
  <cols>
    <col min="1" max="1" width="18.7109375" customWidth="1"/>
  </cols>
  <sheetData>
    <row r="1" spans="1:17" s="15" customFormat="1">
      <c r="A1" s="15" t="s">
        <v>33</v>
      </c>
      <c r="B1" s="16" t="s">
        <v>0</v>
      </c>
      <c r="C1" s="16" t="s">
        <v>1</v>
      </c>
      <c r="D1" s="16" t="s">
        <v>2</v>
      </c>
      <c r="E1" s="16" t="s">
        <v>3</v>
      </c>
      <c r="F1" s="16" t="s">
        <v>4</v>
      </c>
      <c r="G1" s="16" t="s">
        <v>5</v>
      </c>
      <c r="H1" s="16" t="s">
        <v>6</v>
      </c>
      <c r="I1" s="16" t="s">
        <v>7</v>
      </c>
      <c r="J1" s="16" t="s">
        <v>8</v>
      </c>
      <c r="K1" s="16" t="s">
        <v>9</v>
      </c>
      <c r="L1" s="16" t="s">
        <v>10</v>
      </c>
      <c r="M1" s="16" t="s">
        <v>11</v>
      </c>
      <c r="N1" s="15" t="s">
        <v>32</v>
      </c>
    </row>
    <row r="2" spans="1:17">
      <c r="A2" t="str">
        <f>Konfiguration!B2</f>
        <v>Lohn</v>
      </c>
      <c r="N2">
        <f>SUM(B2:M2)</f>
        <v>0</v>
      </c>
    </row>
    <row r="3" spans="1:17">
      <c r="A3" t="str">
        <f>Konfiguration!B3</f>
        <v>Zinsen</v>
      </c>
      <c r="N3">
        <f t="shared" ref="N3:N5" si="0">SUM(B3:M3)</f>
        <v>0</v>
      </c>
    </row>
    <row r="4" spans="1:17">
      <c r="A4" t="str">
        <f>Konfiguration!B4</f>
        <v>Steuerrückerstattung</v>
      </c>
      <c r="N4">
        <f t="shared" si="0"/>
        <v>0</v>
      </c>
    </row>
    <row r="5" spans="1:17">
      <c r="A5" t="str">
        <f>Konfiguration!B5</f>
        <v>Sonstiges</v>
      </c>
      <c r="N5">
        <f t="shared" si="0"/>
        <v>0</v>
      </c>
    </row>
    <row r="6" spans="1:17">
      <c r="A6" s="4" t="s">
        <v>40</v>
      </c>
      <c r="B6" s="5">
        <f t="shared" ref="B6:L6" si="1">SUM(B2:B5)</f>
        <v>0</v>
      </c>
      <c r="C6" s="5">
        <f t="shared" si="1"/>
        <v>0</v>
      </c>
      <c r="D6" s="5">
        <f t="shared" si="1"/>
        <v>0</v>
      </c>
      <c r="E6" s="5">
        <f t="shared" si="1"/>
        <v>0</v>
      </c>
      <c r="F6" s="5">
        <f t="shared" si="1"/>
        <v>0</v>
      </c>
      <c r="G6" s="5">
        <f t="shared" si="1"/>
        <v>0</v>
      </c>
      <c r="H6" s="5">
        <f t="shared" si="1"/>
        <v>0</v>
      </c>
      <c r="I6" s="5">
        <f t="shared" si="1"/>
        <v>0</v>
      </c>
      <c r="J6" s="5">
        <f t="shared" si="1"/>
        <v>0</v>
      </c>
      <c r="K6" s="5">
        <f t="shared" si="1"/>
        <v>0</v>
      </c>
      <c r="L6" s="5">
        <f t="shared" si="1"/>
        <v>0</v>
      </c>
      <c r="M6" s="5">
        <f>SUM(M2:M5)</f>
        <v>0</v>
      </c>
      <c r="N6" s="5">
        <f>SUM(N2:N5)</f>
        <v>0</v>
      </c>
    </row>
    <row r="9" spans="1:17" s="14" customFormat="1">
      <c r="A9" s="18"/>
      <c r="B9" s="18"/>
      <c r="C9" s="18"/>
      <c r="D9" s="83" t="s">
        <v>32</v>
      </c>
      <c r="E9" s="84"/>
      <c r="F9" s="19"/>
      <c r="G9" s="83" t="s">
        <v>33</v>
      </c>
      <c r="H9" s="83"/>
      <c r="I9" s="18"/>
      <c r="J9" s="83" t="s">
        <v>36</v>
      </c>
      <c r="K9" s="84"/>
      <c r="L9" s="18"/>
      <c r="M9" s="18"/>
      <c r="N9" s="18"/>
      <c r="O9" s="18"/>
      <c r="P9" s="18"/>
      <c r="Q9" s="18"/>
    </row>
  </sheetData>
  <mergeCells count="3">
    <mergeCell ref="D9:E9"/>
    <mergeCell ref="G9:H9"/>
    <mergeCell ref="J9:K9"/>
  </mergeCells>
  <hyperlinks>
    <hyperlink ref="B1" location="Januar!A1" display="Januar"/>
    <hyperlink ref="C1" location="Februar!A1" display="Februar"/>
    <hyperlink ref="D1" location="März!A1" display="März"/>
    <hyperlink ref="E1" location="April!A1" display="April"/>
    <hyperlink ref="F1" location="Mai!A1" display="Mai"/>
    <hyperlink ref="G1" location="Juni!A1" display="Juni"/>
    <hyperlink ref="H1" location="Juli!A1" display="Juli"/>
    <hyperlink ref="I1" location="August!A1" display="August"/>
    <hyperlink ref="J1" location="September!A1" display="September"/>
    <hyperlink ref="K1" location="Oktober!A1" display="Oktober"/>
    <hyperlink ref="L1" location="November!A1" display="November"/>
    <hyperlink ref="M1" location="Dezember!A1" display="Dezember"/>
    <hyperlink ref="D9" location="Gesamt!A1" display="Gesamt"/>
    <hyperlink ref="G9" location="Einnahmen!A1" display="Einnahmen"/>
    <hyperlink ref="J9" location="AusgabenFix!A1" display="AusgabenFix"/>
  </hyperlink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 alignWithMargins="0">
    <oddHeader>&amp;C&amp;A</oddHeader>
    <oddFooter>&amp;CPage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7"/>
  <dimension ref="A1:Q14"/>
  <sheetViews>
    <sheetView workbookViewId="0">
      <selection activeCell="B2" sqref="B2:H9"/>
    </sheetView>
  </sheetViews>
  <sheetFormatPr baseColWidth="10" defaultColWidth="11.5703125" defaultRowHeight="12.75"/>
  <cols>
    <col min="1" max="1" width="21.7109375" customWidth="1"/>
  </cols>
  <sheetData>
    <row r="1" spans="1:17" s="15" customFormat="1">
      <c r="A1" s="15" t="s">
        <v>41</v>
      </c>
      <c r="B1" s="16" t="s">
        <v>0</v>
      </c>
      <c r="C1" s="16" t="s">
        <v>1</v>
      </c>
      <c r="D1" s="16" t="s">
        <v>2</v>
      </c>
      <c r="E1" s="16" t="s">
        <v>3</v>
      </c>
      <c r="F1" s="16" t="s">
        <v>4</v>
      </c>
      <c r="G1" s="16" t="s">
        <v>5</v>
      </c>
      <c r="H1" s="16" t="s">
        <v>6</v>
      </c>
      <c r="I1" s="16" t="s">
        <v>7</v>
      </c>
      <c r="J1" s="16" t="s">
        <v>8</v>
      </c>
      <c r="K1" s="16" t="s">
        <v>9</v>
      </c>
      <c r="L1" s="16" t="s">
        <v>10</v>
      </c>
      <c r="M1" s="16" t="s">
        <v>11</v>
      </c>
    </row>
    <row r="2" spans="1:17">
      <c r="A2" t="str">
        <f>Konfiguration!A16</f>
        <v>Miete</v>
      </c>
    </row>
    <row r="3" spans="1:17">
      <c r="A3" t="str">
        <f>Konfiguration!A17</f>
        <v>Strom</v>
      </c>
    </row>
    <row r="4" spans="1:17">
      <c r="A4" t="str">
        <f>Konfiguration!A18</f>
        <v>Fernsehen</v>
      </c>
    </row>
    <row r="5" spans="1:17">
      <c r="A5" t="str">
        <f>Konfiguration!A19</f>
        <v>Telefon</v>
      </c>
    </row>
    <row r="6" spans="1:17">
      <c r="A6" t="str">
        <f>Konfiguration!A20</f>
        <v>Hausratversicherung</v>
      </c>
    </row>
    <row r="7" spans="1:17">
      <c r="A7" t="str">
        <f>Konfiguration!A21</f>
        <v>KFZ-Steuer</v>
      </c>
    </row>
    <row r="8" spans="1:17">
      <c r="A8" t="str">
        <f>Konfiguration!A22</f>
        <v>KFZ-Versicherung</v>
      </c>
    </row>
    <row r="9" spans="1:17">
      <c r="A9" t="str">
        <f>Konfiguration!A23</f>
        <v>Riester</v>
      </c>
    </row>
    <row r="10" spans="1:17" s="8" customFormat="1">
      <c r="A10" s="6" t="s">
        <v>42</v>
      </c>
      <c r="B10" s="7">
        <f>SUM(B2:B9)</f>
        <v>0</v>
      </c>
      <c r="C10" s="7">
        <f t="shared" ref="C10:M10" si="0">SUM(C2:C9)</f>
        <v>0</v>
      </c>
      <c r="D10" s="7">
        <f t="shared" si="0"/>
        <v>0</v>
      </c>
      <c r="E10" s="7">
        <f t="shared" si="0"/>
        <v>0</v>
      </c>
      <c r="F10" s="7">
        <f t="shared" si="0"/>
        <v>0</v>
      </c>
      <c r="G10" s="7">
        <f t="shared" si="0"/>
        <v>0</v>
      </c>
      <c r="H10" s="7">
        <f t="shared" si="0"/>
        <v>0</v>
      </c>
      <c r="I10" s="7">
        <f t="shared" si="0"/>
        <v>0</v>
      </c>
      <c r="J10" s="7">
        <f t="shared" si="0"/>
        <v>0</v>
      </c>
      <c r="K10" s="7">
        <f t="shared" si="0"/>
        <v>0</v>
      </c>
      <c r="L10" s="7">
        <f t="shared" si="0"/>
        <v>0</v>
      </c>
      <c r="M10" s="7">
        <f t="shared" si="0"/>
        <v>0</v>
      </c>
    </row>
    <row r="13" spans="1:17" s="14" customFormat="1">
      <c r="A13" s="18"/>
      <c r="B13" s="18"/>
      <c r="C13" s="18"/>
      <c r="D13" s="83" t="s">
        <v>32</v>
      </c>
      <c r="E13" s="84"/>
      <c r="F13" s="19"/>
      <c r="G13" s="83" t="s">
        <v>33</v>
      </c>
      <c r="H13" s="83"/>
      <c r="I13" s="18"/>
      <c r="J13" s="83" t="s">
        <v>36</v>
      </c>
      <c r="K13" s="84"/>
      <c r="L13" s="18"/>
      <c r="M13" s="18"/>
      <c r="N13" s="18"/>
      <c r="O13" s="18"/>
      <c r="P13" s="18"/>
      <c r="Q13" s="18"/>
    </row>
    <row r="14" spans="1:17" s="1" customFormat="1"/>
  </sheetData>
  <mergeCells count="3">
    <mergeCell ref="D13:E13"/>
    <mergeCell ref="G13:H13"/>
    <mergeCell ref="J13:K13"/>
  </mergeCells>
  <hyperlinks>
    <hyperlink ref="B1" location="Januar!A1" display="Januar"/>
    <hyperlink ref="C1" location="Februar!A1" display="Februar"/>
    <hyperlink ref="D1" location="März!A1" display="März"/>
    <hyperlink ref="E1" location="April!A1" display="April"/>
    <hyperlink ref="F1" location="Mai!A1" display="Mai"/>
    <hyperlink ref="G1" location="Juni!A1" display="Juni"/>
    <hyperlink ref="H1" location="Juli!A1" display="Juli"/>
    <hyperlink ref="I1" location="August!A1" display="August"/>
    <hyperlink ref="J1" location="September!A1" display="September"/>
    <hyperlink ref="K1" location="Oktober!A1" display="Oktober"/>
    <hyperlink ref="L1" location="November!A1" display="November"/>
    <hyperlink ref="M1" location="Dezember!A1" display="Dezember"/>
    <hyperlink ref="D13" location="Gesamt!A1" display="Gesamt"/>
    <hyperlink ref="G13" location="Einnahmen!A1" display="Einnahmen"/>
    <hyperlink ref="J13" location="AusgabenFix!A1" display="AusgabenFix"/>
  </hyperlink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 alignWithMargins="0">
    <oddHeader>&amp;C&amp;A</oddHeader>
    <oddFooter>&amp;CPage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8"/>
  <dimension ref="A1:R36"/>
  <sheetViews>
    <sheetView workbookViewId="0">
      <selection activeCell="Q2" sqref="Q2:Q14"/>
    </sheetView>
  </sheetViews>
  <sheetFormatPr baseColWidth="10" defaultColWidth="11.5703125" defaultRowHeight="12.75"/>
  <cols>
    <col min="1" max="1" width="10" bestFit="1" customWidth="1"/>
    <col min="2" max="17" width="12.7109375" customWidth="1"/>
  </cols>
  <sheetData>
    <row r="1" spans="1:17" s="1" customFormat="1">
      <c r="A1" s="3" t="s">
        <v>43</v>
      </c>
      <c r="B1" s="3" t="str">
        <f>Konfiguration!A2</f>
        <v>Lebensmittel</v>
      </c>
      <c r="C1" s="3" t="str">
        <f>Konfiguration!A3</f>
        <v>Hygiene</v>
      </c>
      <c r="D1" s="3" t="str">
        <f>Konfiguration!A4</f>
        <v>Kleidung</v>
      </c>
      <c r="E1" s="3" t="str">
        <f>Konfiguration!A5</f>
        <v>Telefon</v>
      </c>
      <c r="F1" s="3" t="str">
        <f>Konfiguration!A6</f>
        <v>Essen</v>
      </c>
      <c r="G1" s="3" t="str">
        <f>Konfiguration!A7</f>
        <v>Bücher</v>
      </c>
      <c r="H1" s="3" t="str">
        <f>Konfiguration!A8</f>
        <v>Auto</v>
      </c>
      <c r="I1" s="3" t="str">
        <f>Konfiguration!A9</f>
        <v>Benzin</v>
      </c>
      <c r="J1" s="3" t="str">
        <f>Konfiguration!A10</f>
        <v>Haustiere</v>
      </c>
      <c r="K1" s="3" t="str">
        <f>Konfiguration!A11</f>
        <v>Freizeit</v>
      </c>
      <c r="L1" s="3" t="str">
        <f>Konfiguration!A12</f>
        <v>Beruf</v>
      </c>
      <c r="M1" s="3" t="str">
        <f>Konfiguration!A13</f>
        <v>Arzt</v>
      </c>
      <c r="N1" s="3" t="str">
        <f>Konfiguration!A14</f>
        <v>Anschaffungen</v>
      </c>
      <c r="O1" s="3" t="str">
        <f>Konfiguration!A15</f>
        <v>Sonstiges</v>
      </c>
      <c r="P1" s="3" t="s">
        <v>32</v>
      </c>
      <c r="Q1" s="3" t="s">
        <v>44</v>
      </c>
    </row>
    <row r="2" spans="1:17">
      <c r="A2">
        <v>1</v>
      </c>
      <c r="P2" s="17">
        <f t="shared" ref="P2:P32" si="0">SUM(B2:O2)</f>
        <v>0</v>
      </c>
    </row>
    <row r="3" spans="1:17">
      <c r="A3">
        <f t="shared" ref="A3:A32" si="1">A2+1</f>
        <v>2</v>
      </c>
      <c r="P3" s="17">
        <f t="shared" si="0"/>
        <v>0</v>
      </c>
    </row>
    <row r="4" spans="1:17">
      <c r="A4">
        <f t="shared" si="1"/>
        <v>3</v>
      </c>
      <c r="P4" s="17">
        <f t="shared" si="0"/>
        <v>0</v>
      </c>
    </row>
    <row r="5" spans="1:17">
      <c r="A5">
        <f t="shared" si="1"/>
        <v>4</v>
      </c>
      <c r="P5" s="17">
        <f t="shared" si="0"/>
        <v>0</v>
      </c>
    </row>
    <row r="6" spans="1:17">
      <c r="A6">
        <f t="shared" si="1"/>
        <v>5</v>
      </c>
      <c r="P6" s="17">
        <f t="shared" si="0"/>
        <v>0</v>
      </c>
    </row>
    <row r="7" spans="1:17">
      <c r="A7">
        <f t="shared" si="1"/>
        <v>6</v>
      </c>
      <c r="P7" s="17">
        <f t="shared" si="0"/>
        <v>0</v>
      </c>
    </row>
    <row r="8" spans="1:17">
      <c r="A8">
        <f t="shared" si="1"/>
        <v>7</v>
      </c>
      <c r="P8" s="17">
        <f t="shared" si="0"/>
        <v>0</v>
      </c>
    </row>
    <row r="9" spans="1:17">
      <c r="A9">
        <f t="shared" si="1"/>
        <v>8</v>
      </c>
      <c r="P9" s="17">
        <f t="shared" si="0"/>
        <v>0</v>
      </c>
    </row>
    <row r="10" spans="1:17">
      <c r="A10">
        <f t="shared" si="1"/>
        <v>9</v>
      </c>
      <c r="P10" s="17">
        <f t="shared" si="0"/>
        <v>0</v>
      </c>
    </row>
    <row r="11" spans="1:17">
      <c r="A11">
        <f t="shared" si="1"/>
        <v>10</v>
      </c>
      <c r="P11" s="17">
        <f t="shared" si="0"/>
        <v>0</v>
      </c>
    </row>
    <row r="12" spans="1:17">
      <c r="A12">
        <f t="shared" si="1"/>
        <v>11</v>
      </c>
      <c r="P12" s="17">
        <f t="shared" si="0"/>
        <v>0</v>
      </c>
    </row>
    <row r="13" spans="1:17">
      <c r="A13">
        <f t="shared" si="1"/>
        <v>12</v>
      </c>
      <c r="P13" s="17">
        <f t="shared" si="0"/>
        <v>0</v>
      </c>
    </row>
    <row r="14" spans="1:17">
      <c r="A14">
        <f t="shared" si="1"/>
        <v>13</v>
      </c>
      <c r="P14" s="17">
        <f t="shared" si="0"/>
        <v>0</v>
      </c>
    </row>
    <row r="15" spans="1:17">
      <c r="A15">
        <f t="shared" si="1"/>
        <v>14</v>
      </c>
      <c r="P15" s="17">
        <f t="shared" si="0"/>
        <v>0</v>
      </c>
    </row>
    <row r="16" spans="1:17">
      <c r="A16">
        <f t="shared" si="1"/>
        <v>15</v>
      </c>
      <c r="P16" s="17">
        <f t="shared" si="0"/>
        <v>0</v>
      </c>
    </row>
    <row r="17" spans="1:16">
      <c r="A17">
        <f t="shared" si="1"/>
        <v>16</v>
      </c>
      <c r="P17" s="17">
        <f t="shared" si="0"/>
        <v>0</v>
      </c>
    </row>
    <row r="18" spans="1:16">
      <c r="A18">
        <f t="shared" si="1"/>
        <v>17</v>
      </c>
      <c r="P18" s="17">
        <f t="shared" si="0"/>
        <v>0</v>
      </c>
    </row>
    <row r="19" spans="1:16">
      <c r="A19">
        <f t="shared" si="1"/>
        <v>18</v>
      </c>
      <c r="P19" s="17">
        <f t="shared" si="0"/>
        <v>0</v>
      </c>
    </row>
    <row r="20" spans="1:16">
      <c r="A20">
        <f t="shared" si="1"/>
        <v>19</v>
      </c>
      <c r="P20" s="17">
        <f>SUM(B20:O20)</f>
        <v>0</v>
      </c>
    </row>
    <row r="21" spans="1:16">
      <c r="A21">
        <f t="shared" si="1"/>
        <v>20</v>
      </c>
      <c r="P21" s="17">
        <f t="shared" si="0"/>
        <v>0</v>
      </c>
    </row>
    <row r="22" spans="1:16">
      <c r="A22">
        <f t="shared" si="1"/>
        <v>21</v>
      </c>
      <c r="P22" s="17">
        <f t="shared" si="0"/>
        <v>0</v>
      </c>
    </row>
    <row r="23" spans="1:16">
      <c r="A23">
        <f t="shared" si="1"/>
        <v>22</v>
      </c>
      <c r="P23" s="17">
        <f t="shared" si="0"/>
        <v>0</v>
      </c>
    </row>
    <row r="24" spans="1:16">
      <c r="A24">
        <f t="shared" si="1"/>
        <v>23</v>
      </c>
      <c r="P24" s="17">
        <f t="shared" si="0"/>
        <v>0</v>
      </c>
    </row>
    <row r="25" spans="1:16">
      <c r="A25">
        <f t="shared" si="1"/>
        <v>24</v>
      </c>
      <c r="P25" s="17">
        <f t="shared" si="0"/>
        <v>0</v>
      </c>
    </row>
    <row r="26" spans="1:16">
      <c r="A26">
        <f t="shared" si="1"/>
        <v>25</v>
      </c>
      <c r="P26" s="17">
        <f t="shared" si="0"/>
        <v>0</v>
      </c>
    </row>
    <row r="27" spans="1:16">
      <c r="A27">
        <f t="shared" si="1"/>
        <v>26</v>
      </c>
      <c r="P27" s="17">
        <f t="shared" si="0"/>
        <v>0</v>
      </c>
    </row>
    <row r="28" spans="1:16">
      <c r="A28">
        <f t="shared" si="1"/>
        <v>27</v>
      </c>
      <c r="P28" s="17">
        <f t="shared" si="0"/>
        <v>0</v>
      </c>
    </row>
    <row r="29" spans="1:16">
      <c r="A29">
        <f t="shared" si="1"/>
        <v>28</v>
      </c>
      <c r="P29" s="17">
        <f t="shared" si="0"/>
        <v>0</v>
      </c>
    </row>
    <row r="30" spans="1:16">
      <c r="A30">
        <f t="shared" si="1"/>
        <v>29</v>
      </c>
      <c r="P30" s="17">
        <f t="shared" si="0"/>
        <v>0</v>
      </c>
    </row>
    <row r="31" spans="1:16">
      <c r="A31">
        <f t="shared" si="1"/>
        <v>30</v>
      </c>
      <c r="P31" s="17">
        <f t="shared" si="0"/>
        <v>0</v>
      </c>
    </row>
    <row r="32" spans="1:16">
      <c r="A32">
        <f t="shared" si="1"/>
        <v>31</v>
      </c>
      <c r="P32" s="17">
        <f t="shared" si="0"/>
        <v>0</v>
      </c>
    </row>
    <row r="33" spans="1:18" ht="25.5">
      <c r="A33" s="10" t="s">
        <v>45</v>
      </c>
      <c r="B33" s="17">
        <f t="shared" ref="B33:O33" si="2">SUM(B2:B32)</f>
        <v>0</v>
      </c>
      <c r="C33" s="17">
        <f t="shared" si="2"/>
        <v>0</v>
      </c>
      <c r="D33" s="17">
        <f t="shared" si="2"/>
        <v>0</v>
      </c>
      <c r="E33" s="17">
        <f t="shared" si="2"/>
        <v>0</v>
      </c>
      <c r="F33" s="17">
        <f t="shared" si="2"/>
        <v>0</v>
      </c>
      <c r="G33" s="17">
        <f t="shared" si="2"/>
        <v>0</v>
      </c>
      <c r="H33" s="17">
        <f t="shared" si="2"/>
        <v>0</v>
      </c>
      <c r="I33" s="17">
        <f t="shared" si="2"/>
        <v>0</v>
      </c>
      <c r="J33" s="17">
        <f t="shared" si="2"/>
        <v>0</v>
      </c>
      <c r="K33" s="17">
        <f t="shared" si="2"/>
        <v>0</v>
      </c>
      <c r="L33" s="17">
        <f t="shared" si="2"/>
        <v>0</v>
      </c>
      <c r="M33" s="17">
        <f t="shared" si="2"/>
        <v>0</v>
      </c>
      <c r="N33" s="17">
        <f t="shared" si="2"/>
        <v>0</v>
      </c>
      <c r="O33" s="17">
        <f t="shared" si="2"/>
        <v>0</v>
      </c>
      <c r="P33" s="17">
        <f>SUM(B33:O33)</f>
        <v>0</v>
      </c>
      <c r="Q33" s="11"/>
    </row>
    <row r="36" spans="1:18" s="14" customFormat="1">
      <c r="A36" s="18"/>
      <c r="B36" s="18"/>
      <c r="C36" s="18"/>
      <c r="D36" s="18"/>
      <c r="E36" s="83" t="s">
        <v>32</v>
      </c>
      <c r="F36" s="84"/>
      <c r="G36" s="20"/>
      <c r="H36" s="83" t="s">
        <v>33</v>
      </c>
      <c r="I36" s="83"/>
      <c r="J36" s="18"/>
      <c r="K36" s="83" t="s">
        <v>36</v>
      </c>
      <c r="L36" s="84"/>
      <c r="M36" s="18"/>
      <c r="N36" s="18"/>
      <c r="O36" s="18"/>
      <c r="P36" s="18"/>
      <c r="Q36" s="18"/>
      <c r="R36" s="18"/>
    </row>
  </sheetData>
  <mergeCells count="3">
    <mergeCell ref="E36:F36"/>
    <mergeCell ref="H36:I36"/>
    <mergeCell ref="K36:L36"/>
  </mergeCells>
  <hyperlinks>
    <hyperlink ref="E36" location="Gesamt!A1" display="Gesamt"/>
    <hyperlink ref="H36" location="Einnahmen!A1" display="Einnahmen"/>
    <hyperlink ref="K36" location="AusgabenFix!A1" display="AusgabenFix"/>
  </hyperlink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 alignWithMargins="0">
    <oddHeader>&amp;C&amp;A</oddHeader>
    <oddFooter>&amp;CPage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9"/>
  <dimension ref="A1:R36"/>
  <sheetViews>
    <sheetView workbookViewId="0">
      <selection activeCell="Q8" sqref="Q8"/>
    </sheetView>
  </sheetViews>
  <sheetFormatPr baseColWidth="10" defaultColWidth="11.5703125" defaultRowHeight="12.75"/>
  <cols>
    <col min="1" max="1" width="10" bestFit="1" customWidth="1"/>
    <col min="2" max="17" width="12.7109375" customWidth="1"/>
  </cols>
  <sheetData>
    <row r="1" spans="1:17" s="1" customFormat="1">
      <c r="A1" s="3" t="s">
        <v>43</v>
      </c>
      <c r="B1" s="3" t="str">
        <f>Konfiguration!A2</f>
        <v>Lebensmittel</v>
      </c>
      <c r="C1" s="3" t="str">
        <f>Konfiguration!A3</f>
        <v>Hygiene</v>
      </c>
      <c r="D1" s="3" t="str">
        <f>Konfiguration!A4</f>
        <v>Kleidung</v>
      </c>
      <c r="E1" s="3" t="str">
        <f>Konfiguration!A5</f>
        <v>Telefon</v>
      </c>
      <c r="F1" s="3" t="str">
        <f>Konfiguration!A6</f>
        <v>Essen</v>
      </c>
      <c r="G1" s="3" t="str">
        <f>Konfiguration!A7</f>
        <v>Bücher</v>
      </c>
      <c r="H1" s="3" t="str">
        <f>Konfiguration!A8</f>
        <v>Auto</v>
      </c>
      <c r="I1" s="3" t="str">
        <f>Konfiguration!A9</f>
        <v>Benzin</v>
      </c>
      <c r="J1" s="3" t="str">
        <f>Konfiguration!A10</f>
        <v>Haustiere</v>
      </c>
      <c r="K1" s="3" t="str">
        <f>Konfiguration!A11</f>
        <v>Freizeit</v>
      </c>
      <c r="L1" s="3" t="str">
        <f>Konfiguration!A12</f>
        <v>Beruf</v>
      </c>
      <c r="M1" s="3" t="str">
        <f>Konfiguration!A13</f>
        <v>Arzt</v>
      </c>
      <c r="N1" s="3" t="str">
        <f>Konfiguration!A14</f>
        <v>Anschaffungen</v>
      </c>
      <c r="O1" s="3" t="str">
        <f>Konfiguration!A15</f>
        <v>Sonstiges</v>
      </c>
      <c r="P1" s="3" t="s">
        <v>32</v>
      </c>
      <c r="Q1" s="3" t="s">
        <v>44</v>
      </c>
    </row>
    <row r="2" spans="1:17">
      <c r="A2">
        <v>1</v>
      </c>
      <c r="P2" s="17">
        <f t="shared" ref="P2:P32" si="0">SUM(B2:O2)</f>
        <v>0</v>
      </c>
    </row>
    <row r="3" spans="1:17">
      <c r="A3">
        <f t="shared" ref="A3:A32" si="1">A2+1</f>
        <v>2</v>
      </c>
      <c r="P3" s="17">
        <f t="shared" si="0"/>
        <v>0</v>
      </c>
    </row>
    <row r="4" spans="1:17">
      <c r="A4">
        <f t="shared" si="1"/>
        <v>3</v>
      </c>
      <c r="P4" s="17">
        <f t="shared" si="0"/>
        <v>0</v>
      </c>
    </row>
    <row r="5" spans="1:17">
      <c r="A5">
        <f t="shared" si="1"/>
        <v>4</v>
      </c>
      <c r="P5" s="17">
        <f t="shared" si="0"/>
        <v>0</v>
      </c>
    </row>
    <row r="6" spans="1:17">
      <c r="A6">
        <f t="shared" si="1"/>
        <v>5</v>
      </c>
      <c r="P6" s="17">
        <f t="shared" si="0"/>
        <v>0</v>
      </c>
    </row>
    <row r="7" spans="1:17">
      <c r="A7">
        <f t="shared" si="1"/>
        <v>6</v>
      </c>
      <c r="P7" s="17">
        <f t="shared" si="0"/>
        <v>0</v>
      </c>
    </row>
    <row r="8" spans="1:17">
      <c r="A8">
        <f t="shared" si="1"/>
        <v>7</v>
      </c>
      <c r="P8" s="17">
        <f t="shared" si="0"/>
        <v>0</v>
      </c>
    </row>
    <row r="9" spans="1:17">
      <c r="A9">
        <f t="shared" si="1"/>
        <v>8</v>
      </c>
      <c r="P9" s="17">
        <f t="shared" si="0"/>
        <v>0</v>
      </c>
    </row>
    <row r="10" spans="1:17">
      <c r="A10">
        <f t="shared" si="1"/>
        <v>9</v>
      </c>
      <c r="P10" s="17">
        <f t="shared" si="0"/>
        <v>0</v>
      </c>
    </row>
    <row r="11" spans="1:17">
      <c r="A11">
        <f t="shared" si="1"/>
        <v>10</v>
      </c>
      <c r="P11" s="17">
        <f t="shared" si="0"/>
        <v>0</v>
      </c>
    </row>
    <row r="12" spans="1:17">
      <c r="A12">
        <f t="shared" si="1"/>
        <v>11</v>
      </c>
      <c r="P12" s="17">
        <f t="shared" si="0"/>
        <v>0</v>
      </c>
    </row>
    <row r="13" spans="1:17">
      <c r="A13">
        <f t="shared" si="1"/>
        <v>12</v>
      </c>
      <c r="P13" s="17">
        <f t="shared" si="0"/>
        <v>0</v>
      </c>
    </row>
    <row r="14" spans="1:17">
      <c r="A14">
        <f t="shared" si="1"/>
        <v>13</v>
      </c>
      <c r="P14" s="17">
        <f t="shared" si="0"/>
        <v>0</v>
      </c>
    </row>
    <row r="15" spans="1:17">
      <c r="A15">
        <f t="shared" si="1"/>
        <v>14</v>
      </c>
      <c r="P15" s="17">
        <f t="shared" si="0"/>
        <v>0</v>
      </c>
    </row>
    <row r="16" spans="1:17">
      <c r="A16">
        <f t="shared" si="1"/>
        <v>15</v>
      </c>
      <c r="P16" s="17">
        <f t="shared" si="0"/>
        <v>0</v>
      </c>
    </row>
    <row r="17" spans="1:16">
      <c r="A17">
        <f t="shared" si="1"/>
        <v>16</v>
      </c>
      <c r="P17" s="17">
        <f t="shared" si="0"/>
        <v>0</v>
      </c>
    </row>
    <row r="18" spans="1:16">
      <c r="A18">
        <f t="shared" si="1"/>
        <v>17</v>
      </c>
      <c r="P18" s="17">
        <f t="shared" si="0"/>
        <v>0</v>
      </c>
    </row>
    <row r="19" spans="1:16">
      <c r="A19">
        <f t="shared" si="1"/>
        <v>18</v>
      </c>
      <c r="P19" s="17">
        <f t="shared" si="0"/>
        <v>0</v>
      </c>
    </row>
    <row r="20" spans="1:16">
      <c r="A20">
        <f t="shared" si="1"/>
        <v>19</v>
      </c>
      <c r="P20" s="17">
        <f>SUM(B20:O20)</f>
        <v>0</v>
      </c>
    </row>
    <row r="21" spans="1:16">
      <c r="A21">
        <f t="shared" si="1"/>
        <v>20</v>
      </c>
      <c r="P21" s="17">
        <f t="shared" si="0"/>
        <v>0</v>
      </c>
    </row>
    <row r="22" spans="1:16">
      <c r="A22">
        <f t="shared" si="1"/>
        <v>21</v>
      </c>
      <c r="P22" s="17">
        <f t="shared" si="0"/>
        <v>0</v>
      </c>
    </row>
    <row r="23" spans="1:16">
      <c r="A23">
        <f t="shared" si="1"/>
        <v>22</v>
      </c>
      <c r="P23" s="17">
        <f t="shared" si="0"/>
        <v>0</v>
      </c>
    </row>
    <row r="24" spans="1:16">
      <c r="A24">
        <f t="shared" si="1"/>
        <v>23</v>
      </c>
      <c r="P24" s="17">
        <f t="shared" si="0"/>
        <v>0</v>
      </c>
    </row>
    <row r="25" spans="1:16">
      <c r="A25">
        <f t="shared" si="1"/>
        <v>24</v>
      </c>
      <c r="P25" s="17">
        <f t="shared" si="0"/>
        <v>0</v>
      </c>
    </row>
    <row r="26" spans="1:16">
      <c r="A26">
        <f t="shared" si="1"/>
        <v>25</v>
      </c>
      <c r="P26" s="17">
        <f t="shared" si="0"/>
        <v>0</v>
      </c>
    </row>
    <row r="27" spans="1:16">
      <c r="A27">
        <f t="shared" si="1"/>
        <v>26</v>
      </c>
      <c r="P27" s="17">
        <f t="shared" si="0"/>
        <v>0</v>
      </c>
    </row>
    <row r="28" spans="1:16">
      <c r="A28">
        <f t="shared" si="1"/>
        <v>27</v>
      </c>
      <c r="P28" s="17">
        <f t="shared" si="0"/>
        <v>0</v>
      </c>
    </row>
    <row r="29" spans="1:16">
      <c r="A29">
        <f t="shared" si="1"/>
        <v>28</v>
      </c>
      <c r="P29" s="17">
        <f t="shared" si="0"/>
        <v>0</v>
      </c>
    </row>
    <row r="30" spans="1:16">
      <c r="A30">
        <f t="shared" si="1"/>
        <v>29</v>
      </c>
      <c r="P30" s="17">
        <f t="shared" si="0"/>
        <v>0</v>
      </c>
    </row>
    <row r="31" spans="1:16">
      <c r="A31">
        <f t="shared" si="1"/>
        <v>30</v>
      </c>
      <c r="P31" s="17">
        <f t="shared" si="0"/>
        <v>0</v>
      </c>
    </row>
    <row r="32" spans="1:16">
      <c r="A32">
        <f t="shared" si="1"/>
        <v>31</v>
      </c>
      <c r="P32" s="17">
        <f t="shared" si="0"/>
        <v>0</v>
      </c>
    </row>
    <row r="33" spans="1:18" ht="25.5">
      <c r="A33" s="10" t="s">
        <v>45</v>
      </c>
      <c r="B33" s="17">
        <f t="shared" ref="B33:O33" si="2">SUM(B2:B32)</f>
        <v>0</v>
      </c>
      <c r="C33" s="17">
        <f t="shared" si="2"/>
        <v>0</v>
      </c>
      <c r="D33" s="17">
        <f t="shared" si="2"/>
        <v>0</v>
      </c>
      <c r="E33" s="17">
        <f t="shared" si="2"/>
        <v>0</v>
      </c>
      <c r="F33" s="17">
        <f t="shared" si="2"/>
        <v>0</v>
      </c>
      <c r="G33" s="17">
        <f t="shared" si="2"/>
        <v>0</v>
      </c>
      <c r="H33" s="17">
        <f t="shared" si="2"/>
        <v>0</v>
      </c>
      <c r="I33" s="17">
        <f t="shared" si="2"/>
        <v>0</v>
      </c>
      <c r="J33" s="17">
        <f t="shared" si="2"/>
        <v>0</v>
      </c>
      <c r="K33" s="17">
        <f t="shared" si="2"/>
        <v>0</v>
      </c>
      <c r="L33" s="17">
        <f t="shared" si="2"/>
        <v>0</v>
      </c>
      <c r="M33" s="17">
        <f t="shared" si="2"/>
        <v>0</v>
      </c>
      <c r="N33" s="17">
        <f t="shared" si="2"/>
        <v>0</v>
      </c>
      <c r="O33" s="17">
        <f t="shared" si="2"/>
        <v>0</v>
      </c>
      <c r="P33" s="17">
        <f>SUM(B33:O33)</f>
        <v>0</v>
      </c>
      <c r="Q33" s="11"/>
    </row>
    <row r="36" spans="1:18" s="14" customFormat="1">
      <c r="A36" s="18"/>
      <c r="B36" s="18"/>
      <c r="C36" s="18"/>
      <c r="D36" s="18"/>
      <c r="E36" s="83" t="s">
        <v>32</v>
      </c>
      <c r="F36" s="84"/>
      <c r="G36" s="20"/>
      <c r="H36" s="83" t="s">
        <v>33</v>
      </c>
      <c r="I36" s="83"/>
      <c r="J36" s="18"/>
      <c r="K36" s="83" t="s">
        <v>36</v>
      </c>
      <c r="L36" s="84"/>
      <c r="M36" s="18"/>
      <c r="N36" s="18"/>
      <c r="O36" s="18"/>
      <c r="P36" s="18"/>
      <c r="Q36" s="18"/>
      <c r="R36" s="18"/>
    </row>
  </sheetData>
  <mergeCells count="3">
    <mergeCell ref="E36:F36"/>
    <mergeCell ref="H36:I36"/>
    <mergeCell ref="K36:L36"/>
  </mergeCells>
  <hyperlinks>
    <hyperlink ref="E36" location="Gesamt!A1" display="Gesamt"/>
    <hyperlink ref="H36" location="Einnahmen!A1" display="Einnahmen"/>
    <hyperlink ref="K36" location="AusgabenFix!A1" display="AusgabenFix"/>
  </hyperlink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 alignWithMargins="0">
    <oddHeader>&amp;C&amp;A</oddHeader>
    <oddFooter>&amp;CPage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10"/>
  <dimension ref="A1:R36"/>
  <sheetViews>
    <sheetView workbookViewId="0">
      <selection activeCell="Q2" sqref="Q2:Q32"/>
    </sheetView>
  </sheetViews>
  <sheetFormatPr baseColWidth="10" defaultColWidth="11.5703125" defaultRowHeight="12.75"/>
  <cols>
    <col min="1" max="1" width="10" bestFit="1" customWidth="1"/>
    <col min="2" max="17" width="12.7109375" customWidth="1"/>
  </cols>
  <sheetData>
    <row r="1" spans="1:17" s="1" customFormat="1">
      <c r="A1" s="3" t="s">
        <v>43</v>
      </c>
      <c r="B1" s="3" t="str">
        <f>Konfiguration!A2</f>
        <v>Lebensmittel</v>
      </c>
      <c r="C1" s="3" t="str">
        <f>Konfiguration!A3</f>
        <v>Hygiene</v>
      </c>
      <c r="D1" s="3" t="str">
        <f>Konfiguration!A4</f>
        <v>Kleidung</v>
      </c>
      <c r="E1" s="3" t="str">
        <f>Konfiguration!A5</f>
        <v>Telefon</v>
      </c>
      <c r="F1" s="3" t="str">
        <f>Konfiguration!A6</f>
        <v>Essen</v>
      </c>
      <c r="G1" s="3" t="str">
        <f>Konfiguration!A7</f>
        <v>Bücher</v>
      </c>
      <c r="H1" s="3" t="str">
        <f>Konfiguration!A8</f>
        <v>Auto</v>
      </c>
      <c r="I1" s="3" t="str">
        <f>Konfiguration!A9</f>
        <v>Benzin</v>
      </c>
      <c r="J1" s="3" t="str">
        <f>Konfiguration!A10</f>
        <v>Haustiere</v>
      </c>
      <c r="K1" s="3" t="str">
        <f>Konfiguration!A11</f>
        <v>Freizeit</v>
      </c>
      <c r="L1" s="3" t="str">
        <f>Konfiguration!A12</f>
        <v>Beruf</v>
      </c>
      <c r="M1" s="3" t="str">
        <f>Konfiguration!A13</f>
        <v>Arzt</v>
      </c>
      <c r="N1" s="3" t="str">
        <f>Konfiguration!A14</f>
        <v>Anschaffungen</v>
      </c>
      <c r="O1" s="3" t="str">
        <f>Konfiguration!A15</f>
        <v>Sonstiges</v>
      </c>
      <c r="P1" s="3" t="s">
        <v>32</v>
      </c>
      <c r="Q1" s="3" t="s">
        <v>44</v>
      </c>
    </row>
    <row r="2" spans="1:17">
      <c r="A2">
        <v>1</v>
      </c>
      <c r="P2" s="17">
        <f t="shared" ref="P2:P32" si="0">SUM(B2:O2)</f>
        <v>0</v>
      </c>
    </row>
    <row r="3" spans="1:17">
      <c r="A3">
        <f t="shared" ref="A3:A32" si="1">A2+1</f>
        <v>2</v>
      </c>
      <c r="P3" s="17">
        <f t="shared" si="0"/>
        <v>0</v>
      </c>
    </row>
    <row r="4" spans="1:17">
      <c r="A4">
        <f t="shared" si="1"/>
        <v>3</v>
      </c>
      <c r="P4" s="17">
        <f t="shared" si="0"/>
        <v>0</v>
      </c>
    </row>
    <row r="5" spans="1:17">
      <c r="A5">
        <f t="shared" si="1"/>
        <v>4</v>
      </c>
      <c r="P5" s="17">
        <f t="shared" si="0"/>
        <v>0</v>
      </c>
    </row>
    <row r="6" spans="1:17">
      <c r="A6">
        <f t="shared" si="1"/>
        <v>5</v>
      </c>
      <c r="P6" s="17">
        <f t="shared" si="0"/>
        <v>0</v>
      </c>
    </row>
    <row r="7" spans="1:17">
      <c r="A7">
        <f t="shared" si="1"/>
        <v>6</v>
      </c>
      <c r="P7" s="17">
        <f t="shared" si="0"/>
        <v>0</v>
      </c>
    </row>
    <row r="8" spans="1:17">
      <c r="A8">
        <f t="shared" si="1"/>
        <v>7</v>
      </c>
      <c r="P8" s="17">
        <f t="shared" si="0"/>
        <v>0</v>
      </c>
    </row>
    <row r="9" spans="1:17">
      <c r="A9">
        <f t="shared" si="1"/>
        <v>8</v>
      </c>
      <c r="P9" s="17">
        <f t="shared" si="0"/>
        <v>0</v>
      </c>
    </row>
    <row r="10" spans="1:17">
      <c r="A10">
        <f t="shared" si="1"/>
        <v>9</v>
      </c>
      <c r="P10" s="17">
        <f t="shared" si="0"/>
        <v>0</v>
      </c>
    </row>
    <row r="11" spans="1:17">
      <c r="A11">
        <f t="shared" si="1"/>
        <v>10</v>
      </c>
      <c r="P11" s="17">
        <f t="shared" si="0"/>
        <v>0</v>
      </c>
    </row>
    <row r="12" spans="1:17">
      <c r="A12">
        <f t="shared" si="1"/>
        <v>11</v>
      </c>
      <c r="P12" s="17">
        <f t="shared" si="0"/>
        <v>0</v>
      </c>
    </row>
    <row r="13" spans="1:17">
      <c r="A13">
        <f t="shared" si="1"/>
        <v>12</v>
      </c>
      <c r="P13" s="17">
        <f t="shared" si="0"/>
        <v>0</v>
      </c>
    </row>
    <row r="14" spans="1:17">
      <c r="A14">
        <f t="shared" si="1"/>
        <v>13</v>
      </c>
      <c r="P14" s="17">
        <f t="shared" si="0"/>
        <v>0</v>
      </c>
    </row>
    <row r="15" spans="1:17">
      <c r="A15">
        <f t="shared" si="1"/>
        <v>14</v>
      </c>
      <c r="P15" s="17">
        <f t="shared" si="0"/>
        <v>0</v>
      </c>
    </row>
    <row r="16" spans="1:17">
      <c r="A16">
        <f t="shared" si="1"/>
        <v>15</v>
      </c>
      <c r="P16" s="17">
        <f t="shared" si="0"/>
        <v>0</v>
      </c>
    </row>
    <row r="17" spans="1:16">
      <c r="A17">
        <f t="shared" si="1"/>
        <v>16</v>
      </c>
      <c r="P17" s="17">
        <f t="shared" si="0"/>
        <v>0</v>
      </c>
    </row>
    <row r="18" spans="1:16">
      <c r="A18">
        <f t="shared" si="1"/>
        <v>17</v>
      </c>
      <c r="P18" s="17">
        <f t="shared" si="0"/>
        <v>0</v>
      </c>
    </row>
    <row r="19" spans="1:16">
      <c r="A19">
        <f t="shared" si="1"/>
        <v>18</v>
      </c>
      <c r="P19" s="17">
        <f t="shared" si="0"/>
        <v>0</v>
      </c>
    </row>
    <row r="20" spans="1:16">
      <c r="A20">
        <f t="shared" si="1"/>
        <v>19</v>
      </c>
      <c r="P20" s="17">
        <f>SUM(B20:O20)</f>
        <v>0</v>
      </c>
    </row>
    <row r="21" spans="1:16">
      <c r="A21">
        <f t="shared" si="1"/>
        <v>20</v>
      </c>
      <c r="P21" s="17">
        <f t="shared" si="0"/>
        <v>0</v>
      </c>
    </row>
    <row r="22" spans="1:16">
      <c r="A22">
        <f t="shared" si="1"/>
        <v>21</v>
      </c>
      <c r="P22" s="17">
        <f t="shared" si="0"/>
        <v>0</v>
      </c>
    </row>
    <row r="23" spans="1:16">
      <c r="A23">
        <f t="shared" si="1"/>
        <v>22</v>
      </c>
      <c r="P23" s="17">
        <f t="shared" si="0"/>
        <v>0</v>
      </c>
    </row>
    <row r="24" spans="1:16">
      <c r="A24">
        <f t="shared" si="1"/>
        <v>23</v>
      </c>
      <c r="P24" s="17">
        <f t="shared" si="0"/>
        <v>0</v>
      </c>
    </row>
    <row r="25" spans="1:16">
      <c r="A25">
        <f t="shared" si="1"/>
        <v>24</v>
      </c>
      <c r="P25" s="17">
        <f t="shared" si="0"/>
        <v>0</v>
      </c>
    </row>
    <row r="26" spans="1:16">
      <c r="A26">
        <f t="shared" si="1"/>
        <v>25</v>
      </c>
      <c r="P26" s="17">
        <f t="shared" si="0"/>
        <v>0</v>
      </c>
    </row>
    <row r="27" spans="1:16">
      <c r="A27">
        <f t="shared" si="1"/>
        <v>26</v>
      </c>
      <c r="P27" s="17">
        <f t="shared" si="0"/>
        <v>0</v>
      </c>
    </row>
    <row r="28" spans="1:16">
      <c r="A28">
        <f t="shared" si="1"/>
        <v>27</v>
      </c>
      <c r="P28" s="17">
        <f t="shared" si="0"/>
        <v>0</v>
      </c>
    </row>
    <row r="29" spans="1:16">
      <c r="A29">
        <f t="shared" si="1"/>
        <v>28</v>
      </c>
      <c r="P29" s="17">
        <f t="shared" si="0"/>
        <v>0</v>
      </c>
    </row>
    <row r="30" spans="1:16">
      <c r="A30">
        <f t="shared" si="1"/>
        <v>29</v>
      </c>
      <c r="P30" s="17">
        <f t="shared" si="0"/>
        <v>0</v>
      </c>
    </row>
    <row r="31" spans="1:16">
      <c r="A31">
        <f t="shared" si="1"/>
        <v>30</v>
      </c>
      <c r="P31" s="17">
        <f t="shared" si="0"/>
        <v>0</v>
      </c>
    </row>
    <row r="32" spans="1:16">
      <c r="A32">
        <f t="shared" si="1"/>
        <v>31</v>
      </c>
      <c r="P32" s="17">
        <f t="shared" si="0"/>
        <v>0</v>
      </c>
    </row>
    <row r="33" spans="1:18" ht="25.5">
      <c r="A33" s="10" t="s">
        <v>45</v>
      </c>
      <c r="B33" s="17">
        <f t="shared" ref="B33:O33" si="2">SUM(B2:B32)</f>
        <v>0</v>
      </c>
      <c r="C33" s="17">
        <f t="shared" si="2"/>
        <v>0</v>
      </c>
      <c r="D33" s="17">
        <f t="shared" si="2"/>
        <v>0</v>
      </c>
      <c r="E33" s="17">
        <f t="shared" si="2"/>
        <v>0</v>
      </c>
      <c r="F33" s="17">
        <f t="shared" si="2"/>
        <v>0</v>
      </c>
      <c r="G33" s="17">
        <f t="shared" si="2"/>
        <v>0</v>
      </c>
      <c r="H33" s="17">
        <f t="shared" si="2"/>
        <v>0</v>
      </c>
      <c r="I33" s="17">
        <f t="shared" si="2"/>
        <v>0</v>
      </c>
      <c r="J33" s="17">
        <f t="shared" si="2"/>
        <v>0</v>
      </c>
      <c r="K33" s="17">
        <f t="shared" si="2"/>
        <v>0</v>
      </c>
      <c r="L33" s="17">
        <f t="shared" si="2"/>
        <v>0</v>
      </c>
      <c r="M33" s="17">
        <f t="shared" si="2"/>
        <v>0</v>
      </c>
      <c r="N33" s="17">
        <f t="shared" si="2"/>
        <v>0</v>
      </c>
      <c r="O33" s="17">
        <f t="shared" si="2"/>
        <v>0</v>
      </c>
      <c r="P33" s="17">
        <f>SUM(B33:O33)</f>
        <v>0</v>
      </c>
      <c r="Q33" s="11"/>
    </row>
    <row r="36" spans="1:18" s="14" customFormat="1">
      <c r="A36" s="18"/>
      <c r="B36" s="18"/>
      <c r="C36" s="18"/>
      <c r="D36" s="18"/>
      <c r="E36" s="83" t="s">
        <v>32</v>
      </c>
      <c r="F36" s="84"/>
      <c r="G36" s="21"/>
      <c r="H36" s="83" t="s">
        <v>33</v>
      </c>
      <c r="I36" s="83"/>
      <c r="J36" s="18"/>
      <c r="K36" s="83" t="s">
        <v>36</v>
      </c>
      <c r="L36" s="84"/>
      <c r="M36" s="18"/>
      <c r="N36" s="18"/>
      <c r="O36" s="18"/>
      <c r="P36" s="18"/>
      <c r="Q36" s="18"/>
      <c r="R36" s="18"/>
    </row>
  </sheetData>
  <mergeCells count="3">
    <mergeCell ref="E36:F36"/>
    <mergeCell ref="H36:I36"/>
    <mergeCell ref="K36:L36"/>
  </mergeCells>
  <hyperlinks>
    <hyperlink ref="E36" location="Gesamt!A1" display="Gesamt"/>
    <hyperlink ref="H36" location="Einnahmen!A1" display="Einnahmen"/>
    <hyperlink ref="K36" location="AusgabenFix!A1" display="AusgabenFix"/>
  </hyperlink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 alignWithMargins="0">
    <oddHeader>&amp;C&amp;A</oddHeader>
    <oddFooter>&amp;CPage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codeName="Tabelle11"/>
  <dimension ref="A1:R36"/>
  <sheetViews>
    <sheetView workbookViewId="0">
      <selection activeCell="Q17" sqref="Q17:Q34"/>
    </sheetView>
  </sheetViews>
  <sheetFormatPr baseColWidth="10" defaultColWidth="11.5703125" defaultRowHeight="12.75"/>
  <sheetData>
    <row r="1" spans="1:17">
      <c r="A1" s="3" t="s">
        <v>43</v>
      </c>
      <c r="B1" s="3" t="str">
        <f>Konfiguration!A2</f>
        <v>Lebensmittel</v>
      </c>
      <c r="C1" s="3" t="str">
        <f>Konfiguration!A3</f>
        <v>Hygiene</v>
      </c>
      <c r="D1" s="3" t="str">
        <f>Konfiguration!A4</f>
        <v>Kleidung</v>
      </c>
      <c r="E1" s="3" t="str">
        <f>Konfiguration!A5</f>
        <v>Telefon</v>
      </c>
      <c r="F1" s="3" t="str">
        <f>Konfiguration!A6</f>
        <v>Essen</v>
      </c>
      <c r="G1" s="3" t="str">
        <f>Konfiguration!A7</f>
        <v>Bücher</v>
      </c>
      <c r="H1" s="3" t="str">
        <f>Konfiguration!A8</f>
        <v>Auto</v>
      </c>
      <c r="I1" s="3" t="str">
        <f>Konfiguration!A9</f>
        <v>Benzin</v>
      </c>
      <c r="J1" s="3" t="str">
        <f>Konfiguration!A10</f>
        <v>Haustiere</v>
      </c>
      <c r="K1" s="3" t="str">
        <f>Konfiguration!A11</f>
        <v>Freizeit</v>
      </c>
      <c r="L1" s="3" t="str">
        <f>Konfiguration!A12</f>
        <v>Beruf</v>
      </c>
      <c r="M1" s="3" t="str">
        <f>Konfiguration!A13</f>
        <v>Arzt</v>
      </c>
      <c r="N1" s="3" t="str">
        <f>Konfiguration!A14</f>
        <v>Anschaffungen</v>
      </c>
      <c r="O1" s="3" t="str">
        <f>Konfiguration!A15</f>
        <v>Sonstiges</v>
      </c>
      <c r="P1" s="3" t="s">
        <v>32</v>
      </c>
      <c r="Q1" s="3" t="s">
        <v>44</v>
      </c>
    </row>
    <row r="2" spans="1:17">
      <c r="A2">
        <v>1</v>
      </c>
      <c r="P2" s="17">
        <f t="shared" ref="P2:P32" si="0">SUM(B2:O2)</f>
        <v>0</v>
      </c>
    </row>
    <row r="3" spans="1:17">
      <c r="A3">
        <f t="shared" ref="A3:A32" si="1">A2+1</f>
        <v>2</v>
      </c>
      <c r="P3" s="17">
        <f t="shared" si="0"/>
        <v>0</v>
      </c>
    </row>
    <row r="4" spans="1:17">
      <c r="A4">
        <f t="shared" si="1"/>
        <v>3</v>
      </c>
      <c r="P4" s="17">
        <f t="shared" si="0"/>
        <v>0</v>
      </c>
    </row>
    <row r="5" spans="1:17">
      <c r="A5">
        <f t="shared" si="1"/>
        <v>4</v>
      </c>
      <c r="P5" s="17">
        <f t="shared" si="0"/>
        <v>0</v>
      </c>
    </row>
    <row r="6" spans="1:17">
      <c r="A6">
        <f t="shared" si="1"/>
        <v>5</v>
      </c>
      <c r="P6" s="17">
        <f t="shared" si="0"/>
        <v>0</v>
      </c>
    </row>
    <row r="7" spans="1:17">
      <c r="A7">
        <f t="shared" si="1"/>
        <v>6</v>
      </c>
      <c r="P7" s="17">
        <f t="shared" si="0"/>
        <v>0</v>
      </c>
    </row>
    <row r="8" spans="1:17">
      <c r="A8">
        <f t="shared" si="1"/>
        <v>7</v>
      </c>
      <c r="P8" s="17">
        <f t="shared" si="0"/>
        <v>0</v>
      </c>
    </row>
    <row r="9" spans="1:17">
      <c r="A9">
        <f t="shared" si="1"/>
        <v>8</v>
      </c>
      <c r="P9" s="17">
        <f t="shared" si="0"/>
        <v>0</v>
      </c>
    </row>
    <row r="10" spans="1:17">
      <c r="A10">
        <f t="shared" si="1"/>
        <v>9</v>
      </c>
      <c r="P10" s="17">
        <f t="shared" si="0"/>
        <v>0</v>
      </c>
    </row>
    <row r="11" spans="1:17">
      <c r="A11">
        <f t="shared" si="1"/>
        <v>10</v>
      </c>
      <c r="P11" s="17">
        <f t="shared" si="0"/>
        <v>0</v>
      </c>
    </row>
    <row r="12" spans="1:17">
      <c r="A12">
        <f t="shared" si="1"/>
        <v>11</v>
      </c>
      <c r="P12" s="17">
        <f t="shared" si="0"/>
        <v>0</v>
      </c>
    </row>
    <row r="13" spans="1:17">
      <c r="A13">
        <f t="shared" si="1"/>
        <v>12</v>
      </c>
      <c r="P13" s="17">
        <f t="shared" si="0"/>
        <v>0</v>
      </c>
    </row>
    <row r="14" spans="1:17">
      <c r="A14">
        <f t="shared" si="1"/>
        <v>13</v>
      </c>
      <c r="P14" s="17">
        <f t="shared" si="0"/>
        <v>0</v>
      </c>
    </row>
    <row r="15" spans="1:17">
      <c r="A15">
        <f t="shared" si="1"/>
        <v>14</v>
      </c>
      <c r="P15" s="17">
        <f t="shared" si="0"/>
        <v>0</v>
      </c>
    </row>
    <row r="16" spans="1:17">
      <c r="A16">
        <f t="shared" si="1"/>
        <v>15</v>
      </c>
      <c r="P16" s="17">
        <f t="shared" si="0"/>
        <v>0</v>
      </c>
    </row>
    <row r="17" spans="1:16">
      <c r="A17">
        <f t="shared" si="1"/>
        <v>16</v>
      </c>
      <c r="P17" s="17">
        <f t="shared" si="0"/>
        <v>0</v>
      </c>
    </row>
    <row r="18" spans="1:16">
      <c r="A18">
        <f t="shared" si="1"/>
        <v>17</v>
      </c>
      <c r="P18" s="17">
        <f t="shared" si="0"/>
        <v>0</v>
      </c>
    </row>
    <row r="19" spans="1:16">
      <c r="A19">
        <f t="shared" si="1"/>
        <v>18</v>
      </c>
      <c r="P19" s="17">
        <f t="shared" si="0"/>
        <v>0</v>
      </c>
    </row>
    <row r="20" spans="1:16">
      <c r="A20">
        <f t="shared" si="1"/>
        <v>19</v>
      </c>
      <c r="P20" s="17">
        <f>SUM(B20:O20)</f>
        <v>0</v>
      </c>
    </row>
    <row r="21" spans="1:16">
      <c r="A21">
        <f t="shared" si="1"/>
        <v>20</v>
      </c>
      <c r="P21" s="17">
        <f t="shared" si="0"/>
        <v>0</v>
      </c>
    </row>
    <row r="22" spans="1:16">
      <c r="A22">
        <f t="shared" si="1"/>
        <v>21</v>
      </c>
      <c r="P22" s="17">
        <f t="shared" si="0"/>
        <v>0</v>
      </c>
    </row>
    <row r="23" spans="1:16">
      <c r="A23">
        <f t="shared" si="1"/>
        <v>22</v>
      </c>
      <c r="P23" s="17">
        <f t="shared" si="0"/>
        <v>0</v>
      </c>
    </row>
    <row r="24" spans="1:16">
      <c r="A24">
        <f t="shared" si="1"/>
        <v>23</v>
      </c>
      <c r="P24" s="17">
        <f t="shared" si="0"/>
        <v>0</v>
      </c>
    </row>
    <row r="25" spans="1:16">
      <c r="A25">
        <f t="shared" si="1"/>
        <v>24</v>
      </c>
      <c r="P25" s="17">
        <f t="shared" si="0"/>
        <v>0</v>
      </c>
    </row>
    <row r="26" spans="1:16">
      <c r="A26">
        <f t="shared" si="1"/>
        <v>25</v>
      </c>
      <c r="P26" s="17">
        <f t="shared" si="0"/>
        <v>0</v>
      </c>
    </row>
    <row r="27" spans="1:16">
      <c r="A27">
        <f t="shared" si="1"/>
        <v>26</v>
      </c>
      <c r="P27" s="17">
        <f t="shared" si="0"/>
        <v>0</v>
      </c>
    </row>
    <row r="28" spans="1:16">
      <c r="A28">
        <f t="shared" si="1"/>
        <v>27</v>
      </c>
      <c r="P28" s="17">
        <f t="shared" si="0"/>
        <v>0</v>
      </c>
    </row>
    <row r="29" spans="1:16">
      <c r="A29">
        <f t="shared" si="1"/>
        <v>28</v>
      </c>
      <c r="P29" s="17">
        <f t="shared" si="0"/>
        <v>0</v>
      </c>
    </row>
    <row r="30" spans="1:16">
      <c r="A30">
        <f t="shared" si="1"/>
        <v>29</v>
      </c>
      <c r="P30" s="17">
        <f t="shared" si="0"/>
        <v>0</v>
      </c>
    </row>
    <row r="31" spans="1:16">
      <c r="A31">
        <f t="shared" si="1"/>
        <v>30</v>
      </c>
      <c r="P31" s="17">
        <f t="shared" si="0"/>
        <v>0</v>
      </c>
    </row>
    <row r="32" spans="1:16">
      <c r="A32">
        <f t="shared" si="1"/>
        <v>31</v>
      </c>
      <c r="P32" s="17">
        <f t="shared" si="0"/>
        <v>0</v>
      </c>
    </row>
    <row r="33" spans="1:18" ht="25.5">
      <c r="A33" s="10" t="s">
        <v>45</v>
      </c>
      <c r="B33" s="17">
        <f t="shared" ref="B33:O33" si="2">SUM(B2:B32)</f>
        <v>0</v>
      </c>
      <c r="C33" s="17">
        <f t="shared" si="2"/>
        <v>0</v>
      </c>
      <c r="D33" s="17">
        <f t="shared" si="2"/>
        <v>0</v>
      </c>
      <c r="E33" s="17">
        <f t="shared" si="2"/>
        <v>0</v>
      </c>
      <c r="F33" s="17">
        <f t="shared" si="2"/>
        <v>0</v>
      </c>
      <c r="G33" s="17">
        <f t="shared" si="2"/>
        <v>0</v>
      </c>
      <c r="H33" s="17">
        <f t="shared" si="2"/>
        <v>0</v>
      </c>
      <c r="I33" s="17">
        <f t="shared" si="2"/>
        <v>0</v>
      </c>
      <c r="J33" s="17">
        <f t="shared" si="2"/>
        <v>0</v>
      </c>
      <c r="K33" s="17">
        <f t="shared" si="2"/>
        <v>0</v>
      </c>
      <c r="L33" s="17">
        <f t="shared" si="2"/>
        <v>0</v>
      </c>
      <c r="M33" s="17">
        <f t="shared" si="2"/>
        <v>0</v>
      </c>
      <c r="N33" s="17">
        <f t="shared" si="2"/>
        <v>0</v>
      </c>
      <c r="O33" s="17">
        <f t="shared" si="2"/>
        <v>0</v>
      </c>
      <c r="P33" s="17">
        <f>SUM(B33:O33)</f>
        <v>0</v>
      </c>
      <c r="Q33" s="11"/>
    </row>
    <row r="36" spans="1:18" s="14" customFormat="1">
      <c r="A36" s="18"/>
      <c r="B36" s="18"/>
      <c r="C36" s="18"/>
      <c r="D36" s="18"/>
      <c r="E36" s="83" t="s">
        <v>32</v>
      </c>
      <c r="F36" s="84"/>
      <c r="G36" s="22"/>
      <c r="H36" s="83" t="s">
        <v>33</v>
      </c>
      <c r="I36" s="83"/>
      <c r="J36" s="18"/>
      <c r="K36" s="83" t="s">
        <v>36</v>
      </c>
      <c r="L36" s="84"/>
      <c r="M36" s="18"/>
      <c r="N36" s="18"/>
      <c r="O36" s="18"/>
      <c r="P36" s="18"/>
      <c r="Q36" s="18"/>
      <c r="R36" s="18"/>
    </row>
  </sheetData>
  <mergeCells count="3">
    <mergeCell ref="E36:F36"/>
    <mergeCell ref="H36:I36"/>
    <mergeCell ref="K36:L36"/>
  </mergeCells>
  <hyperlinks>
    <hyperlink ref="E36" location="Gesamt!A1" display="Gesamt"/>
    <hyperlink ref="H36" location="Einnahmen!A1" display="Einnahmen"/>
    <hyperlink ref="K36" location="AusgabenFix!A1" display="AusgabenFix"/>
  </hyperlink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 alignWithMargins="0">
    <oddHeader>&amp;C&amp;A</oddHeader>
    <oddFooter>&amp;CPage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codeName="Tabelle12"/>
  <dimension ref="A1:R36"/>
  <sheetViews>
    <sheetView workbookViewId="0">
      <selection activeCell="B2" sqref="B2:O32"/>
    </sheetView>
  </sheetViews>
  <sheetFormatPr baseColWidth="10" defaultColWidth="11.5703125" defaultRowHeight="12.75"/>
  <sheetData>
    <row r="1" spans="1:17">
      <c r="A1" s="3" t="s">
        <v>43</v>
      </c>
      <c r="B1" s="3" t="str">
        <f>Konfiguration!A2</f>
        <v>Lebensmittel</v>
      </c>
      <c r="C1" s="3" t="str">
        <f>Konfiguration!A3</f>
        <v>Hygiene</v>
      </c>
      <c r="D1" s="3" t="str">
        <f>Konfiguration!A4</f>
        <v>Kleidung</v>
      </c>
      <c r="E1" s="3" t="str">
        <f>Konfiguration!A5</f>
        <v>Telefon</v>
      </c>
      <c r="F1" s="3" t="str">
        <f>Konfiguration!A6</f>
        <v>Essen</v>
      </c>
      <c r="G1" s="3" t="str">
        <f>Konfiguration!A7</f>
        <v>Bücher</v>
      </c>
      <c r="H1" s="3" t="str">
        <f>Konfiguration!A8</f>
        <v>Auto</v>
      </c>
      <c r="I1" s="3" t="str">
        <f>Konfiguration!A9</f>
        <v>Benzin</v>
      </c>
      <c r="J1" s="3" t="str">
        <f>Konfiguration!A10</f>
        <v>Haustiere</v>
      </c>
      <c r="K1" s="3" t="str">
        <f>Konfiguration!A11</f>
        <v>Freizeit</v>
      </c>
      <c r="L1" s="3" t="str">
        <f>Konfiguration!A12</f>
        <v>Beruf</v>
      </c>
      <c r="M1" s="3" t="str">
        <f>Konfiguration!A13</f>
        <v>Arzt</v>
      </c>
      <c r="N1" s="3" t="str">
        <f>Konfiguration!A14</f>
        <v>Anschaffungen</v>
      </c>
      <c r="O1" s="3" t="str">
        <f>Konfiguration!A15</f>
        <v>Sonstiges</v>
      </c>
      <c r="P1" s="3" t="s">
        <v>32</v>
      </c>
      <c r="Q1" s="3" t="s">
        <v>44</v>
      </c>
    </row>
    <row r="2" spans="1:17">
      <c r="A2">
        <v>1</v>
      </c>
      <c r="P2" s="17">
        <f t="shared" ref="P2:P32" si="0">SUM(B2:O2)</f>
        <v>0</v>
      </c>
    </row>
    <row r="3" spans="1:17">
      <c r="A3">
        <f t="shared" ref="A3:A32" si="1">A2+1</f>
        <v>2</v>
      </c>
      <c r="P3" s="17">
        <f t="shared" si="0"/>
        <v>0</v>
      </c>
    </row>
    <row r="4" spans="1:17">
      <c r="A4">
        <f t="shared" si="1"/>
        <v>3</v>
      </c>
      <c r="P4" s="17">
        <f t="shared" si="0"/>
        <v>0</v>
      </c>
    </row>
    <row r="5" spans="1:17">
      <c r="A5">
        <f t="shared" si="1"/>
        <v>4</v>
      </c>
      <c r="P5" s="17">
        <f t="shared" si="0"/>
        <v>0</v>
      </c>
    </row>
    <row r="6" spans="1:17">
      <c r="A6">
        <f t="shared" si="1"/>
        <v>5</v>
      </c>
      <c r="P6" s="17">
        <f t="shared" si="0"/>
        <v>0</v>
      </c>
    </row>
    <row r="7" spans="1:17">
      <c r="A7">
        <f t="shared" si="1"/>
        <v>6</v>
      </c>
      <c r="P7" s="17">
        <f t="shared" si="0"/>
        <v>0</v>
      </c>
    </row>
    <row r="8" spans="1:17">
      <c r="A8">
        <f t="shared" si="1"/>
        <v>7</v>
      </c>
      <c r="P8" s="17">
        <f t="shared" si="0"/>
        <v>0</v>
      </c>
    </row>
    <row r="9" spans="1:17">
      <c r="A9">
        <f t="shared" si="1"/>
        <v>8</v>
      </c>
      <c r="P9" s="17">
        <f t="shared" si="0"/>
        <v>0</v>
      </c>
    </row>
    <row r="10" spans="1:17">
      <c r="A10">
        <f t="shared" si="1"/>
        <v>9</v>
      </c>
      <c r="P10" s="17">
        <f t="shared" si="0"/>
        <v>0</v>
      </c>
    </row>
    <row r="11" spans="1:17">
      <c r="A11">
        <f t="shared" si="1"/>
        <v>10</v>
      </c>
      <c r="P11" s="17">
        <f t="shared" si="0"/>
        <v>0</v>
      </c>
    </row>
    <row r="12" spans="1:17">
      <c r="A12">
        <f t="shared" si="1"/>
        <v>11</v>
      </c>
      <c r="P12" s="17">
        <f t="shared" si="0"/>
        <v>0</v>
      </c>
    </row>
    <row r="13" spans="1:17">
      <c r="A13">
        <f t="shared" si="1"/>
        <v>12</v>
      </c>
      <c r="P13" s="17">
        <f t="shared" si="0"/>
        <v>0</v>
      </c>
    </row>
    <row r="14" spans="1:17">
      <c r="A14">
        <f t="shared" si="1"/>
        <v>13</v>
      </c>
      <c r="P14" s="17">
        <f t="shared" si="0"/>
        <v>0</v>
      </c>
    </row>
    <row r="15" spans="1:17">
      <c r="A15">
        <f t="shared" si="1"/>
        <v>14</v>
      </c>
      <c r="P15" s="17">
        <f t="shared" si="0"/>
        <v>0</v>
      </c>
    </row>
    <row r="16" spans="1:17">
      <c r="A16">
        <f t="shared" si="1"/>
        <v>15</v>
      </c>
      <c r="P16" s="17">
        <f t="shared" si="0"/>
        <v>0</v>
      </c>
    </row>
    <row r="17" spans="1:16">
      <c r="A17">
        <f t="shared" si="1"/>
        <v>16</v>
      </c>
      <c r="P17" s="17">
        <f t="shared" si="0"/>
        <v>0</v>
      </c>
    </row>
    <row r="18" spans="1:16">
      <c r="A18">
        <f t="shared" si="1"/>
        <v>17</v>
      </c>
      <c r="P18" s="17">
        <f t="shared" si="0"/>
        <v>0</v>
      </c>
    </row>
    <row r="19" spans="1:16">
      <c r="A19">
        <f t="shared" si="1"/>
        <v>18</v>
      </c>
      <c r="P19" s="17">
        <f t="shared" si="0"/>
        <v>0</v>
      </c>
    </row>
    <row r="20" spans="1:16">
      <c r="A20">
        <f t="shared" si="1"/>
        <v>19</v>
      </c>
      <c r="P20" s="17">
        <f>SUM(B20:O20)</f>
        <v>0</v>
      </c>
    </row>
    <row r="21" spans="1:16">
      <c r="A21">
        <f t="shared" si="1"/>
        <v>20</v>
      </c>
      <c r="P21" s="17">
        <f t="shared" si="0"/>
        <v>0</v>
      </c>
    </row>
    <row r="22" spans="1:16">
      <c r="A22">
        <f t="shared" si="1"/>
        <v>21</v>
      </c>
      <c r="P22" s="17">
        <f t="shared" si="0"/>
        <v>0</v>
      </c>
    </row>
    <row r="23" spans="1:16">
      <c r="A23">
        <f t="shared" si="1"/>
        <v>22</v>
      </c>
      <c r="P23" s="17">
        <f t="shared" si="0"/>
        <v>0</v>
      </c>
    </row>
    <row r="24" spans="1:16">
      <c r="A24">
        <f t="shared" si="1"/>
        <v>23</v>
      </c>
      <c r="P24" s="17">
        <f t="shared" si="0"/>
        <v>0</v>
      </c>
    </row>
    <row r="25" spans="1:16">
      <c r="A25">
        <f t="shared" si="1"/>
        <v>24</v>
      </c>
      <c r="P25" s="17">
        <f t="shared" si="0"/>
        <v>0</v>
      </c>
    </row>
    <row r="26" spans="1:16">
      <c r="A26">
        <f t="shared" si="1"/>
        <v>25</v>
      </c>
      <c r="P26" s="17">
        <f t="shared" si="0"/>
        <v>0</v>
      </c>
    </row>
    <row r="27" spans="1:16">
      <c r="A27">
        <f t="shared" si="1"/>
        <v>26</v>
      </c>
      <c r="P27" s="17">
        <f t="shared" si="0"/>
        <v>0</v>
      </c>
    </row>
    <row r="28" spans="1:16">
      <c r="A28">
        <f t="shared" si="1"/>
        <v>27</v>
      </c>
      <c r="P28" s="17">
        <f t="shared" si="0"/>
        <v>0</v>
      </c>
    </row>
    <row r="29" spans="1:16">
      <c r="A29">
        <f t="shared" si="1"/>
        <v>28</v>
      </c>
      <c r="P29" s="17">
        <f t="shared" si="0"/>
        <v>0</v>
      </c>
    </row>
    <row r="30" spans="1:16">
      <c r="A30">
        <f t="shared" si="1"/>
        <v>29</v>
      </c>
      <c r="P30" s="17">
        <f t="shared" si="0"/>
        <v>0</v>
      </c>
    </row>
    <row r="31" spans="1:16">
      <c r="A31">
        <f t="shared" si="1"/>
        <v>30</v>
      </c>
      <c r="P31" s="17">
        <f t="shared" si="0"/>
        <v>0</v>
      </c>
    </row>
    <row r="32" spans="1:16">
      <c r="A32">
        <f t="shared" si="1"/>
        <v>31</v>
      </c>
      <c r="P32" s="17">
        <f t="shared" si="0"/>
        <v>0</v>
      </c>
    </row>
    <row r="33" spans="1:18" ht="25.5">
      <c r="A33" s="10" t="s">
        <v>45</v>
      </c>
      <c r="B33" s="17">
        <f t="shared" ref="B33:O33" si="2">SUM(B2:B32)</f>
        <v>0</v>
      </c>
      <c r="C33" s="17">
        <f t="shared" si="2"/>
        <v>0</v>
      </c>
      <c r="D33" s="17">
        <f t="shared" si="2"/>
        <v>0</v>
      </c>
      <c r="E33" s="17">
        <f t="shared" si="2"/>
        <v>0</v>
      </c>
      <c r="F33" s="17">
        <f t="shared" si="2"/>
        <v>0</v>
      </c>
      <c r="G33" s="17">
        <f t="shared" si="2"/>
        <v>0</v>
      </c>
      <c r="H33" s="17">
        <f t="shared" si="2"/>
        <v>0</v>
      </c>
      <c r="I33" s="17">
        <f t="shared" si="2"/>
        <v>0</v>
      </c>
      <c r="J33" s="17">
        <f t="shared" si="2"/>
        <v>0</v>
      </c>
      <c r="K33" s="17">
        <f t="shared" si="2"/>
        <v>0</v>
      </c>
      <c r="L33" s="17">
        <f t="shared" si="2"/>
        <v>0</v>
      </c>
      <c r="M33" s="17">
        <f t="shared" si="2"/>
        <v>0</v>
      </c>
      <c r="N33" s="17">
        <f t="shared" si="2"/>
        <v>0</v>
      </c>
      <c r="O33" s="17">
        <f t="shared" si="2"/>
        <v>0</v>
      </c>
      <c r="P33" s="17">
        <f>SUM(B33:O33)</f>
        <v>0</v>
      </c>
      <c r="Q33" s="11"/>
    </row>
    <row r="36" spans="1:18" s="14" customFormat="1">
      <c r="A36" s="18"/>
      <c r="B36" s="18"/>
      <c r="C36" s="18"/>
      <c r="D36" s="18"/>
      <c r="E36" s="83" t="s">
        <v>32</v>
      </c>
      <c r="F36" s="84"/>
      <c r="G36" s="23"/>
      <c r="H36" s="83" t="s">
        <v>33</v>
      </c>
      <c r="I36" s="83"/>
      <c r="J36" s="18"/>
      <c r="K36" s="83" t="s">
        <v>36</v>
      </c>
      <c r="L36" s="84"/>
      <c r="M36" s="18"/>
      <c r="N36" s="18"/>
      <c r="O36" s="18"/>
      <c r="P36" s="18"/>
      <c r="Q36" s="18"/>
      <c r="R36" s="18"/>
    </row>
  </sheetData>
  <mergeCells count="3">
    <mergeCell ref="E36:F36"/>
    <mergeCell ref="H36:I36"/>
    <mergeCell ref="K36:L36"/>
  </mergeCells>
  <hyperlinks>
    <hyperlink ref="K36" location="AusgabenFix!A1" display="AusgabenFix"/>
    <hyperlink ref="H36" location="Einnahmen!A1" display="Einnahmen"/>
    <hyperlink ref="E36" location="Gesamt!A1" display="Gesamt"/>
  </hyperlink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 alignWithMargins="0">
    <oddHeader>&amp;C&amp;A</oddHeader>
    <oddFooter>&amp;CPage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13"/>
  <dimension ref="A1:R36"/>
  <sheetViews>
    <sheetView workbookViewId="0">
      <selection activeCell="E36" sqref="E36:F36"/>
    </sheetView>
  </sheetViews>
  <sheetFormatPr baseColWidth="10" defaultColWidth="11.5703125" defaultRowHeight="12.75"/>
  <sheetData>
    <row r="1" spans="1:17">
      <c r="A1" s="3" t="s">
        <v>43</v>
      </c>
      <c r="B1" s="3" t="str">
        <f>Konfiguration!A2</f>
        <v>Lebensmittel</v>
      </c>
      <c r="C1" s="3" t="str">
        <f>Konfiguration!A3</f>
        <v>Hygiene</v>
      </c>
      <c r="D1" s="3" t="str">
        <f>Konfiguration!A4</f>
        <v>Kleidung</v>
      </c>
      <c r="E1" s="3" t="str">
        <f>Konfiguration!A5</f>
        <v>Telefon</v>
      </c>
      <c r="F1" s="3" t="str">
        <f>Konfiguration!A6</f>
        <v>Essen</v>
      </c>
      <c r="G1" s="3" t="str">
        <f>Konfiguration!A7</f>
        <v>Bücher</v>
      </c>
      <c r="H1" s="3" t="str">
        <f>Konfiguration!A8</f>
        <v>Auto</v>
      </c>
      <c r="I1" s="3" t="str">
        <f>Konfiguration!A9</f>
        <v>Benzin</v>
      </c>
      <c r="J1" s="3" t="str">
        <f>Konfiguration!A10</f>
        <v>Haustiere</v>
      </c>
      <c r="K1" s="3" t="str">
        <f>Konfiguration!A11</f>
        <v>Freizeit</v>
      </c>
      <c r="L1" s="3" t="str">
        <f>Konfiguration!A12</f>
        <v>Beruf</v>
      </c>
      <c r="M1" s="3" t="str">
        <f>Konfiguration!A13</f>
        <v>Arzt</v>
      </c>
      <c r="N1" s="3" t="str">
        <f>Konfiguration!A14</f>
        <v>Anschaffungen</v>
      </c>
      <c r="O1" s="3" t="str">
        <f>Konfiguration!A15</f>
        <v>Sonstiges</v>
      </c>
      <c r="P1" s="3" t="s">
        <v>32</v>
      </c>
      <c r="Q1" s="3" t="s">
        <v>44</v>
      </c>
    </row>
    <row r="2" spans="1:17">
      <c r="A2">
        <v>1</v>
      </c>
      <c r="P2" s="17">
        <f t="shared" ref="P2:P32" si="0">SUM(B2:O2)</f>
        <v>0</v>
      </c>
    </row>
    <row r="3" spans="1:17">
      <c r="A3">
        <f t="shared" ref="A3:A32" si="1">A2+1</f>
        <v>2</v>
      </c>
      <c r="P3" s="17">
        <f t="shared" si="0"/>
        <v>0</v>
      </c>
    </row>
    <row r="4" spans="1:17">
      <c r="A4">
        <f t="shared" si="1"/>
        <v>3</v>
      </c>
      <c r="P4" s="17">
        <f t="shared" si="0"/>
        <v>0</v>
      </c>
    </row>
    <row r="5" spans="1:17">
      <c r="A5">
        <f t="shared" si="1"/>
        <v>4</v>
      </c>
      <c r="P5" s="17">
        <f t="shared" si="0"/>
        <v>0</v>
      </c>
    </row>
    <row r="6" spans="1:17">
      <c r="A6">
        <f t="shared" si="1"/>
        <v>5</v>
      </c>
      <c r="P6" s="17">
        <f t="shared" si="0"/>
        <v>0</v>
      </c>
    </row>
    <row r="7" spans="1:17">
      <c r="A7">
        <f t="shared" si="1"/>
        <v>6</v>
      </c>
      <c r="P7" s="17">
        <f t="shared" si="0"/>
        <v>0</v>
      </c>
    </row>
    <row r="8" spans="1:17">
      <c r="A8">
        <f t="shared" si="1"/>
        <v>7</v>
      </c>
      <c r="P8" s="17">
        <f t="shared" si="0"/>
        <v>0</v>
      </c>
    </row>
    <row r="9" spans="1:17">
      <c r="A9">
        <f t="shared" si="1"/>
        <v>8</v>
      </c>
      <c r="P9" s="17">
        <f t="shared" si="0"/>
        <v>0</v>
      </c>
    </row>
    <row r="10" spans="1:17">
      <c r="A10">
        <f t="shared" si="1"/>
        <v>9</v>
      </c>
      <c r="P10" s="17">
        <f t="shared" si="0"/>
        <v>0</v>
      </c>
    </row>
    <row r="11" spans="1:17">
      <c r="A11">
        <f t="shared" si="1"/>
        <v>10</v>
      </c>
      <c r="P11" s="17">
        <f t="shared" si="0"/>
        <v>0</v>
      </c>
    </row>
    <row r="12" spans="1:17">
      <c r="A12">
        <f t="shared" si="1"/>
        <v>11</v>
      </c>
      <c r="P12" s="17">
        <f t="shared" si="0"/>
        <v>0</v>
      </c>
    </row>
    <row r="13" spans="1:17">
      <c r="A13">
        <f t="shared" si="1"/>
        <v>12</v>
      </c>
      <c r="P13" s="17">
        <f t="shared" si="0"/>
        <v>0</v>
      </c>
    </row>
    <row r="14" spans="1:17">
      <c r="A14">
        <f t="shared" si="1"/>
        <v>13</v>
      </c>
      <c r="P14" s="17">
        <f t="shared" si="0"/>
        <v>0</v>
      </c>
    </row>
    <row r="15" spans="1:17">
      <c r="A15">
        <f t="shared" si="1"/>
        <v>14</v>
      </c>
      <c r="P15" s="17">
        <f t="shared" si="0"/>
        <v>0</v>
      </c>
    </row>
    <row r="16" spans="1:17">
      <c r="A16">
        <f t="shared" si="1"/>
        <v>15</v>
      </c>
      <c r="P16" s="17">
        <f t="shared" si="0"/>
        <v>0</v>
      </c>
    </row>
    <row r="17" spans="1:16">
      <c r="A17">
        <f t="shared" si="1"/>
        <v>16</v>
      </c>
      <c r="P17" s="17">
        <f t="shared" si="0"/>
        <v>0</v>
      </c>
    </row>
    <row r="18" spans="1:16">
      <c r="A18">
        <f t="shared" si="1"/>
        <v>17</v>
      </c>
      <c r="P18" s="17">
        <f t="shared" si="0"/>
        <v>0</v>
      </c>
    </row>
    <row r="19" spans="1:16">
      <c r="A19">
        <f t="shared" si="1"/>
        <v>18</v>
      </c>
      <c r="P19" s="17">
        <f t="shared" si="0"/>
        <v>0</v>
      </c>
    </row>
    <row r="20" spans="1:16">
      <c r="A20">
        <f t="shared" si="1"/>
        <v>19</v>
      </c>
      <c r="P20" s="17">
        <f>SUM(B20:O20)</f>
        <v>0</v>
      </c>
    </row>
    <row r="21" spans="1:16">
      <c r="A21">
        <f t="shared" si="1"/>
        <v>20</v>
      </c>
      <c r="P21" s="17">
        <f t="shared" si="0"/>
        <v>0</v>
      </c>
    </row>
    <row r="22" spans="1:16">
      <c r="A22">
        <f t="shared" si="1"/>
        <v>21</v>
      </c>
      <c r="P22" s="17">
        <f t="shared" si="0"/>
        <v>0</v>
      </c>
    </row>
    <row r="23" spans="1:16">
      <c r="A23">
        <f t="shared" si="1"/>
        <v>22</v>
      </c>
      <c r="P23" s="17">
        <f t="shared" si="0"/>
        <v>0</v>
      </c>
    </row>
    <row r="24" spans="1:16">
      <c r="A24">
        <f t="shared" si="1"/>
        <v>23</v>
      </c>
      <c r="P24" s="17">
        <f t="shared" si="0"/>
        <v>0</v>
      </c>
    </row>
    <row r="25" spans="1:16">
      <c r="A25">
        <f t="shared" si="1"/>
        <v>24</v>
      </c>
      <c r="P25" s="17">
        <f t="shared" si="0"/>
        <v>0</v>
      </c>
    </row>
    <row r="26" spans="1:16">
      <c r="A26">
        <f t="shared" si="1"/>
        <v>25</v>
      </c>
      <c r="P26" s="17">
        <f t="shared" si="0"/>
        <v>0</v>
      </c>
    </row>
    <row r="27" spans="1:16">
      <c r="A27">
        <f t="shared" si="1"/>
        <v>26</v>
      </c>
      <c r="P27" s="17">
        <f t="shared" si="0"/>
        <v>0</v>
      </c>
    </row>
    <row r="28" spans="1:16">
      <c r="A28">
        <f t="shared" si="1"/>
        <v>27</v>
      </c>
      <c r="P28" s="17">
        <f t="shared" si="0"/>
        <v>0</v>
      </c>
    </row>
    <row r="29" spans="1:16">
      <c r="A29">
        <f t="shared" si="1"/>
        <v>28</v>
      </c>
      <c r="P29" s="17">
        <f t="shared" si="0"/>
        <v>0</v>
      </c>
    </row>
    <row r="30" spans="1:16">
      <c r="A30">
        <f t="shared" si="1"/>
        <v>29</v>
      </c>
      <c r="P30" s="17">
        <f t="shared" si="0"/>
        <v>0</v>
      </c>
    </row>
    <row r="31" spans="1:16">
      <c r="A31">
        <f t="shared" si="1"/>
        <v>30</v>
      </c>
      <c r="P31" s="17">
        <f t="shared" si="0"/>
        <v>0</v>
      </c>
    </row>
    <row r="32" spans="1:16">
      <c r="A32">
        <f t="shared" si="1"/>
        <v>31</v>
      </c>
      <c r="P32" s="17">
        <f t="shared" si="0"/>
        <v>0</v>
      </c>
    </row>
    <row r="33" spans="1:18" ht="25.5">
      <c r="A33" s="10" t="s">
        <v>45</v>
      </c>
      <c r="B33" s="17">
        <f t="shared" ref="B33:O33" si="2">SUM(B2:B32)</f>
        <v>0</v>
      </c>
      <c r="C33" s="17">
        <f t="shared" si="2"/>
        <v>0</v>
      </c>
      <c r="D33" s="17">
        <f t="shared" si="2"/>
        <v>0</v>
      </c>
      <c r="E33" s="17">
        <f t="shared" si="2"/>
        <v>0</v>
      </c>
      <c r="F33" s="17">
        <f t="shared" si="2"/>
        <v>0</v>
      </c>
      <c r="G33" s="17">
        <f t="shared" si="2"/>
        <v>0</v>
      </c>
      <c r="H33" s="17">
        <f t="shared" si="2"/>
        <v>0</v>
      </c>
      <c r="I33" s="17">
        <f t="shared" si="2"/>
        <v>0</v>
      </c>
      <c r="J33" s="17">
        <f t="shared" si="2"/>
        <v>0</v>
      </c>
      <c r="K33" s="17">
        <f t="shared" si="2"/>
        <v>0</v>
      </c>
      <c r="L33" s="17">
        <f t="shared" si="2"/>
        <v>0</v>
      </c>
      <c r="M33" s="17">
        <f t="shared" si="2"/>
        <v>0</v>
      </c>
      <c r="N33" s="17">
        <f t="shared" si="2"/>
        <v>0</v>
      </c>
      <c r="O33" s="17">
        <f t="shared" si="2"/>
        <v>0</v>
      </c>
      <c r="P33" s="17">
        <f>SUM(B33:O33)</f>
        <v>0</v>
      </c>
      <c r="Q33" s="11"/>
    </row>
    <row r="36" spans="1:18">
      <c r="A36" s="18"/>
      <c r="B36" s="18"/>
      <c r="C36" s="18"/>
      <c r="D36" s="18"/>
      <c r="E36" s="83" t="s">
        <v>32</v>
      </c>
      <c r="F36" s="84"/>
      <c r="G36" s="23"/>
      <c r="H36" s="83" t="s">
        <v>33</v>
      </c>
      <c r="I36" s="83"/>
      <c r="J36" s="18"/>
      <c r="K36" s="83" t="s">
        <v>36</v>
      </c>
      <c r="L36" s="84"/>
      <c r="M36" s="18"/>
      <c r="N36" s="18"/>
      <c r="O36" s="18"/>
      <c r="P36" s="18"/>
      <c r="Q36" s="18"/>
      <c r="R36" s="18"/>
    </row>
  </sheetData>
  <mergeCells count="3">
    <mergeCell ref="E36:F36"/>
    <mergeCell ref="H36:I36"/>
    <mergeCell ref="K36:L36"/>
  </mergeCells>
  <hyperlinks>
    <hyperlink ref="K36" location="AusgabenFix!A1" display="AusgabenFix"/>
    <hyperlink ref="H36" location="Einnahmen!A1" display="Einnahmen"/>
    <hyperlink ref="E36" location="Gesamt!A1" display="Gesamt"/>
  </hyperlink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 alignWithMargins="0">
    <oddHeader>&amp;C&amp;A</oddHeader>
    <oddFooter>&amp;CPage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codeName="Tabelle14"/>
  <dimension ref="A1"/>
  <sheetViews>
    <sheetView workbookViewId="0"/>
  </sheetViews>
  <sheetFormatPr baseColWidth="10" defaultColWidth="11.5703125" defaultRowHeight="12.75"/>
  <sheetData/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 alignWithMargins="0">
    <oddHeader>&amp;C&amp;A</oddHeader>
    <oddFooter>&amp;CPage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codeName="Tabelle16"/>
  <dimension ref="A1:Q36"/>
  <sheetViews>
    <sheetView workbookViewId="0">
      <selection activeCell="F36" sqref="F36"/>
    </sheetView>
  </sheetViews>
  <sheetFormatPr baseColWidth="10" defaultColWidth="11.5703125" defaultRowHeight="12.75"/>
  <sheetData>
    <row r="1" spans="1:17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1"/>
      <c r="Q1" s="3"/>
    </row>
    <row r="33" spans="1:17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1"/>
    </row>
    <row r="36" spans="1:17" s="12" customFormat="1">
      <c r="F36" s="13" t="s">
        <v>32</v>
      </c>
      <c r="G36" s="13" t="s">
        <v>33</v>
      </c>
      <c r="H36" s="13" t="s">
        <v>36</v>
      </c>
    </row>
  </sheetData>
  <hyperlinks>
    <hyperlink ref="F36" location="Gesamt!A1" display="Gesamt"/>
    <hyperlink ref="G36" location="Einnahmen!A1" display="Einnahmen"/>
    <hyperlink ref="H36" location="AusgabenFix!A1" display="AusgabenFix"/>
  </hyperlink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 alignWithMargins="0">
    <oddHeader>&amp;C&amp;A</oddHeader>
    <oddFooter>&amp;CPage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codeName="Tabelle17"/>
  <dimension ref="A1:Q36"/>
  <sheetViews>
    <sheetView workbookViewId="0">
      <selection activeCell="E36" sqref="E36:F36"/>
    </sheetView>
  </sheetViews>
  <sheetFormatPr baseColWidth="10" defaultColWidth="11.5703125" defaultRowHeight="12.75"/>
  <sheetData>
    <row r="1" spans="1:17">
      <c r="A1" s="3" t="s">
        <v>43</v>
      </c>
      <c r="B1" s="3" t="s">
        <v>12</v>
      </c>
      <c r="C1" s="3" t="s">
        <v>13</v>
      </c>
      <c r="D1" s="3" t="s">
        <v>14</v>
      </c>
      <c r="E1" s="3" t="s">
        <v>15</v>
      </c>
      <c r="F1" s="3" t="s">
        <v>16</v>
      </c>
      <c r="G1" s="3" t="s">
        <v>17</v>
      </c>
      <c r="H1" s="3" t="s">
        <v>18</v>
      </c>
      <c r="I1" s="3" t="s">
        <v>19</v>
      </c>
      <c r="J1" s="3" t="s">
        <v>20</v>
      </c>
      <c r="K1" s="3" t="s">
        <v>21</v>
      </c>
      <c r="L1" s="3" t="s">
        <v>22</v>
      </c>
      <c r="M1" s="3" t="s">
        <v>18</v>
      </c>
      <c r="N1" s="3" t="s">
        <v>23</v>
      </c>
      <c r="O1" s="3" t="s">
        <v>24</v>
      </c>
      <c r="P1" s="3" t="s">
        <v>32</v>
      </c>
      <c r="Q1" s="3" t="s">
        <v>44</v>
      </c>
    </row>
    <row r="2" spans="1:17">
      <c r="A2">
        <v>1</v>
      </c>
      <c r="P2" s="17">
        <f t="shared" ref="P2:P32" si="0">SUM(B2:O2)</f>
        <v>0</v>
      </c>
    </row>
    <row r="3" spans="1:17">
      <c r="A3">
        <f t="shared" ref="A3:A32" si="1">A2+1</f>
        <v>2</v>
      </c>
      <c r="P3" s="17">
        <f t="shared" si="0"/>
        <v>0</v>
      </c>
    </row>
    <row r="4" spans="1:17">
      <c r="A4">
        <f t="shared" si="1"/>
        <v>3</v>
      </c>
      <c r="P4" s="17">
        <f t="shared" si="0"/>
        <v>0</v>
      </c>
    </row>
    <row r="5" spans="1:17">
      <c r="A5">
        <f t="shared" si="1"/>
        <v>4</v>
      </c>
      <c r="P5" s="17">
        <f t="shared" si="0"/>
        <v>0</v>
      </c>
    </row>
    <row r="6" spans="1:17">
      <c r="A6">
        <f t="shared" si="1"/>
        <v>5</v>
      </c>
      <c r="P6" s="17">
        <f t="shared" si="0"/>
        <v>0</v>
      </c>
    </row>
    <row r="7" spans="1:17">
      <c r="A7">
        <f t="shared" si="1"/>
        <v>6</v>
      </c>
      <c r="P7" s="17">
        <f t="shared" si="0"/>
        <v>0</v>
      </c>
    </row>
    <row r="8" spans="1:17">
      <c r="A8">
        <f t="shared" si="1"/>
        <v>7</v>
      </c>
      <c r="P8" s="17">
        <f t="shared" si="0"/>
        <v>0</v>
      </c>
    </row>
    <row r="9" spans="1:17">
      <c r="A9">
        <f t="shared" si="1"/>
        <v>8</v>
      </c>
      <c r="P9" s="17">
        <f t="shared" si="0"/>
        <v>0</v>
      </c>
    </row>
    <row r="10" spans="1:17">
      <c r="A10">
        <f t="shared" si="1"/>
        <v>9</v>
      </c>
      <c r="P10" s="17">
        <f t="shared" si="0"/>
        <v>0</v>
      </c>
    </row>
    <row r="11" spans="1:17">
      <c r="A11">
        <f t="shared" si="1"/>
        <v>10</v>
      </c>
      <c r="P11" s="17">
        <f t="shared" si="0"/>
        <v>0</v>
      </c>
    </row>
    <row r="12" spans="1:17">
      <c r="A12">
        <f t="shared" si="1"/>
        <v>11</v>
      </c>
      <c r="P12" s="17">
        <f t="shared" si="0"/>
        <v>0</v>
      </c>
    </row>
    <row r="13" spans="1:17">
      <c r="A13">
        <f t="shared" si="1"/>
        <v>12</v>
      </c>
      <c r="P13" s="17">
        <f t="shared" si="0"/>
        <v>0</v>
      </c>
    </row>
    <row r="14" spans="1:17">
      <c r="A14">
        <f t="shared" si="1"/>
        <v>13</v>
      </c>
      <c r="P14" s="17">
        <f t="shared" si="0"/>
        <v>0</v>
      </c>
    </row>
    <row r="15" spans="1:17">
      <c r="A15">
        <f t="shared" si="1"/>
        <v>14</v>
      </c>
      <c r="P15" s="17">
        <f t="shared" si="0"/>
        <v>0</v>
      </c>
    </row>
    <row r="16" spans="1:17">
      <c r="A16">
        <f t="shared" si="1"/>
        <v>15</v>
      </c>
      <c r="P16" s="17">
        <f t="shared" si="0"/>
        <v>0</v>
      </c>
    </row>
    <row r="17" spans="1:16">
      <c r="A17">
        <f t="shared" si="1"/>
        <v>16</v>
      </c>
      <c r="P17" s="17">
        <f t="shared" si="0"/>
        <v>0</v>
      </c>
    </row>
    <row r="18" spans="1:16">
      <c r="A18">
        <f t="shared" si="1"/>
        <v>17</v>
      </c>
      <c r="P18" s="17">
        <f t="shared" si="0"/>
        <v>0</v>
      </c>
    </row>
    <row r="19" spans="1:16">
      <c r="A19">
        <f t="shared" si="1"/>
        <v>18</v>
      </c>
      <c r="P19" s="17">
        <f t="shared" si="0"/>
        <v>0</v>
      </c>
    </row>
    <row r="20" spans="1:16">
      <c r="A20">
        <f t="shared" si="1"/>
        <v>19</v>
      </c>
      <c r="P20" s="17">
        <f t="shared" si="0"/>
        <v>0</v>
      </c>
    </row>
    <row r="21" spans="1:16">
      <c r="A21">
        <f t="shared" si="1"/>
        <v>20</v>
      </c>
      <c r="P21" s="17">
        <f t="shared" si="0"/>
        <v>0</v>
      </c>
    </row>
    <row r="22" spans="1:16">
      <c r="A22">
        <f t="shared" si="1"/>
        <v>21</v>
      </c>
      <c r="P22" s="17">
        <f t="shared" si="0"/>
        <v>0</v>
      </c>
    </row>
    <row r="23" spans="1:16">
      <c r="A23">
        <f t="shared" si="1"/>
        <v>22</v>
      </c>
      <c r="P23" s="17">
        <f t="shared" si="0"/>
        <v>0</v>
      </c>
    </row>
    <row r="24" spans="1:16">
      <c r="A24">
        <f t="shared" si="1"/>
        <v>23</v>
      </c>
      <c r="P24" s="17">
        <f t="shared" si="0"/>
        <v>0</v>
      </c>
    </row>
    <row r="25" spans="1:16">
      <c r="A25">
        <f t="shared" si="1"/>
        <v>24</v>
      </c>
      <c r="P25" s="17">
        <f t="shared" si="0"/>
        <v>0</v>
      </c>
    </row>
    <row r="26" spans="1:16">
      <c r="A26">
        <f t="shared" si="1"/>
        <v>25</v>
      </c>
      <c r="P26" s="17">
        <f t="shared" si="0"/>
        <v>0</v>
      </c>
    </row>
    <row r="27" spans="1:16">
      <c r="A27">
        <f t="shared" si="1"/>
        <v>26</v>
      </c>
      <c r="P27" s="17">
        <f t="shared" si="0"/>
        <v>0</v>
      </c>
    </row>
    <row r="28" spans="1:16">
      <c r="A28">
        <f t="shared" si="1"/>
        <v>27</v>
      </c>
      <c r="P28" s="17">
        <f t="shared" si="0"/>
        <v>0</v>
      </c>
    </row>
    <row r="29" spans="1:16">
      <c r="A29">
        <f t="shared" si="1"/>
        <v>28</v>
      </c>
      <c r="P29" s="17">
        <f t="shared" si="0"/>
        <v>0</v>
      </c>
    </row>
    <row r="30" spans="1:16">
      <c r="A30">
        <f t="shared" si="1"/>
        <v>29</v>
      </c>
      <c r="P30" s="17">
        <f t="shared" si="0"/>
        <v>0</v>
      </c>
    </row>
    <row r="31" spans="1:16">
      <c r="A31">
        <f t="shared" si="1"/>
        <v>30</v>
      </c>
      <c r="P31" s="17">
        <f t="shared" si="0"/>
        <v>0</v>
      </c>
    </row>
    <row r="32" spans="1:16">
      <c r="A32">
        <f t="shared" si="1"/>
        <v>31</v>
      </c>
      <c r="P32" s="17">
        <f t="shared" si="0"/>
        <v>0</v>
      </c>
    </row>
    <row r="33" spans="1:17" ht="25.5">
      <c r="A33" s="10" t="s">
        <v>45</v>
      </c>
      <c r="B33" s="17">
        <f t="shared" ref="B33:O33" si="2">SUM(B2:B32)</f>
        <v>0</v>
      </c>
      <c r="C33" s="17">
        <f t="shared" si="2"/>
        <v>0</v>
      </c>
      <c r="D33" s="17">
        <f t="shared" si="2"/>
        <v>0</v>
      </c>
      <c r="E33" s="17">
        <f t="shared" si="2"/>
        <v>0</v>
      </c>
      <c r="F33" s="17">
        <f t="shared" si="2"/>
        <v>0</v>
      </c>
      <c r="G33" s="17">
        <f t="shared" si="2"/>
        <v>0</v>
      </c>
      <c r="H33" s="17">
        <f t="shared" si="2"/>
        <v>0</v>
      </c>
      <c r="I33" s="17">
        <f t="shared" si="2"/>
        <v>0</v>
      </c>
      <c r="J33" s="17">
        <f t="shared" si="2"/>
        <v>0</v>
      </c>
      <c r="K33" s="17">
        <f t="shared" si="2"/>
        <v>0</v>
      </c>
      <c r="L33" s="17">
        <f t="shared" si="2"/>
        <v>0</v>
      </c>
      <c r="M33" s="17">
        <f t="shared" si="2"/>
        <v>0</v>
      </c>
      <c r="N33" s="17">
        <f t="shared" si="2"/>
        <v>0</v>
      </c>
      <c r="O33" s="17">
        <f t="shared" si="2"/>
        <v>0</v>
      </c>
      <c r="P33" s="17">
        <f>SUM(B33:O33)</f>
        <v>0</v>
      </c>
      <c r="Q33" s="11"/>
    </row>
    <row r="36" spans="1:17" s="18" customFormat="1">
      <c r="E36" s="83" t="s">
        <v>32</v>
      </c>
      <c r="F36" s="84"/>
      <c r="G36" s="83" t="s">
        <v>33</v>
      </c>
      <c r="H36" s="83"/>
      <c r="J36" s="83" t="s">
        <v>36</v>
      </c>
      <c r="K36" s="84"/>
    </row>
  </sheetData>
  <mergeCells count="3">
    <mergeCell ref="G36:H36"/>
    <mergeCell ref="J36:K36"/>
    <mergeCell ref="E36:F36"/>
  </mergeCells>
  <hyperlinks>
    <hyperlink ref="E36" location="Gesamt!A1" display="Gesamt"/>
    <hyperlink ref="G36" location="Einnahmen!A1" display="Einnahmen"/>
    <hyperlink ref="J36" location="AusgabenFix!A1" display="AusgabenFix"/>
  </hyperlinks>
  <pageMargins left="0.78749999999999998" right="0.78749999999999998" top="1.0249999999999999" bottom="1.0249999999999999" header="0.78749999999999998" footer="0.78749999999999998"/>
  <pageSetup paperSize="9" orientation="portrait" horizontalDpi="300" verticalDpi="300" r:id="rId1"/>
  <headerFooter alignWithMargins="0">
    <oddHeader>&amp;C&amp;A</oddHeader>
    <oddFooter>&amp;CPage 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codeName="Tabelle18"/>
  <dimension ref="A1:Q36"/>
  <sheetViews>
    <sheetView workbookViewId="0">
      <selection activeCell="E36" sqref="E36:F36"/>
    </sheetView>
  </sheetViews>
  <sheetFormatPr baseColWidth="10" defaultColWidth="11.5703125" defaultRowHeight="12.75"/>
  <sheetData>
    <row r="1" spans="1:17">
      <c r="A1" s="3" t="s">
        <v>43</v>
      </c>
      <c r="B1" s="3" t="s">
        <v>12</v>
      </c>
      <c r="C1" s="3" t="s">
        <v>13</v>
      </c>
      <c r="D1" s="3" t="s">
        <v>14</v>
      </c>
      <c r="E1" s="3" t="s">
        <v>15</v>
      </c>
      <c r="F1" s="3" t="s">
        <v>16</v>
      </c>
      <c r="G1" s="3" t="s">
        <v>17</v>
      </c>
      <c r="H1" s="3" t="s">
        <v>18</v>
      </c>
      <c r="I1" s="3" t="s">
        <v>19</v>
      </c>
      <c r="J1" s="3" t="s">
        <v>20</v>
      </c>
      <c r="K1" s="3" t="s">
        <v>21</v>
      </c>
      <c r="L1" s="3" t="s">
        <v>22</v>
      </c>
      <c r="M1" s="3" t="s">
        <v>18</v>
      </c>
      <c r="N1" s="3" t="s">
        <v>23</v>
      </c>
      <c r="O1" s="3" t="s">
        <v>24</v>
      </c>
      <c r="P1" s="3" t="s">
        <v>32</v>
      </c>
      <c r="Q1" s="3" t="s">
        <v>44</v>
      </c>
    </row>
    <row r="2" spans="1:17">
      <c r="A2">
        <v>1</v>
      </c>
      <c r="P2" s="17">
        <f t="shared" ref="P2:P32" si="0">SUM(B2:O2)</f>
        <v>0</v>
      </c>
    </row>
    <row r="3" spans="1:17">
      <c r="A3">
        <f t="shared" ref="A3:A32" si="1">A2+1</f>
        <v>2</v>
      </c>
      <c r="P3" s="17">
        <f t="shared" si="0"/>
        <v>0</v>
      </c>
    </row>
    <row r="4" spans="1:17">
      <c r="A4">
        <f t="shared" si="1"/>
        <v>3</v>
      </c>
      <c r="P4" s="17">
        <f t="shared" si="0"/>
        <v>0</v>
      </c>
    </row>
    <row r="5" spans="1:17">
      <c r="A5">
        <f t="shared" si="1"/>
        <v>4</v>
      </c>
      <c r="P5" s="17">
        <f t="shared" si="0"/>
        <v>0</v>
      </c>
    </row>
    <row r="6" spans="1:17">
      <c r="A6">
        <f t="shared" si="1"/>
        <v>5</v>
      </c>
      <c r="P6" s="17">
        <f t="shared" si="0"/>
        <v>0</v>
      </c>
    </row>
    <row r="7" spans="1:17">
      <c r="A7">
        <f t="shared" si="1"/>
        <v>6</v>
      </c>
      <c r="P7" s="17">
        <f t="shared" si="0"/>
        <v>0</v>
      </c>
    </row>
    <row r="8" spans="1:17">
      <c r="A8">
        <f t="shared" si="1"/>
        <v>7</v>
      </c>
      <c r="P8" s="17">
        <f t="shared" si="0"/>
        <v>0</v>
      </c>
    </row>
    <row r="9" spans="1:17">
      <c r="A9">
        <f t="shared" si="1"/>
        <v>8</v>
      </c>
      <c r="P9" s="17">
        <f t="shared" si="0"/>
        <v>0</v>
      </c>
    </row>
    <row r="10" spans="1:17">
      <c r="A10">
        <f t="shared" si="1"/>
        <v>9</v>
      </c>
      <c r="P10" s="17">
        <f t="shared" si="0"/>
        <v>0</v>
      </c>
    </row>
    <row r="11" spans="1:17">
      <c r="A11">
        <f t="shared" si="1"/>
        <v>10</v>
      </c>
      <c r="P11" s="17">
        <f t="shared" si="0"/>
        <v>0</v>
      </c>
    </row>
    <row r="12" spans="1:17">
      <c r="A12">
        <f t="shared" si="1"/>
        <v>11</v>
      </c>
      <c r="P12" s="17">
        <f t="shared" si="0"/>
        <v>0</v>
      </c>
    </row>
    <row r="13" spans="1:17">
      <c r="A13">
        <f t="shared" si="1"/>
        <v>12</v>
      </c>
      <c r="P13" s="17">
        <f t="shared" si="0"/>
        <v>0</v>
      </c>
    </row>
    <row r="14" spans="1:17">
      <c r="A14">
        <f t="shared" si="1"/>
        <v>13</v>
      </c>
      <c r="P14" s="17">
        <f t="shared" si="0"/>
        <v>0</v>
      </c>
    </row>
    <row r="15" spans="1:17">
      <c r="A15">
        <f t="shared" si="1"/>
        <v>14</v>
      </c>
      <c r="P15" s="17">
        <f t="shared" si="0"/>
        <v>0</v>
      </c>
    </row>
    <row r="16" spans="1:17">
      <c r="A16">
        <f t="shared" si="1"/>
        <v>15</v>
      </c>
      <c r="P16" s="17">
        <f t="shared" si="0"/>
        <v>0</v>
      </c>
    </row>
    <row r="17" spans="1:16">
      <c r="A17">
        <f t="shared" si="1"/>
        <v>16</v>
      </c>
      <c r="P17" s="17">
        <f t="shared" si="0"/>
        <v>0</v>
      </c>
    </row>
    <row r="18" spans="1:16">
      <c r="A18">
        <f t="shared" si="1"/>
        <v>17</v>
      </c>
      <c r="P18" s="17">
        <f t="shared" si="0"/>
        <v>0</v>
      </c>
    </row>
    <row r="19" spans="1:16">
      <c r="A19">
        <f t="shared" si="1"/>
        <v>18</v>
      </c>
      <c r="P19" s="17">
        <f t="shared" si="0"/>
        <v>0</v>
      </c>
    </row>
    <row r="20" spans="1:16">
      <c r="A20">
        <f t="shared" si="1"/>
        <v>19</v>
      </c>
      <c r="P20" s="17">
        <f>SUM(B20:O20)</f>
        <v>0</v>
      </c>
    </row>
    <row r="21" spans="1:16">
      <c r="A21">
        <f t="shared" si="1"/>
        <v>20</v>
      </c>
      <c r="P21" s="17">
        <f t="shared" si="0"/>
        <v>0</v>
      </c>
    </row>
    <row r="22" spans="1:16">
      <c r="A22">
        <f t="shared" si="1"/>
        <v>21</v>
      </c>
      <c r="P22" s="17">
        <f t="shared" si="0"/>
        <v>0</v>
      </c>
    </row>
    <row r="23" spans="1:16">
      <c r="A23">
        <f t="shared" si="1"/>
        <v>22</v>
      </c>
      <c r="P23" s="17">
        <f t="shared" si="0"/>
        <v>0</v>
      </c>
    </row>
    <row r="24" spans="1:16">
      <c r="A24">
        <f t="shared" si="1"/>
        <v>23</v>
      </c>
      <c r="P24" s="17">
        <f t="shared" si="0"/>
        <v>0</v>
      </c>
    </row>
    <row r="25" spans="1:16">
      <c r="A25">
        <f t="shared" si="1"/>
        <v>24</v>
      </c>
      <c r="P25" s="17">
        <f t="shared" si="0"/>
        <v>0</v>
      </c>
    </row>
    <row r="26" spans="1:16">
      <c r="A26">
        <f t="shared" si="1"/>
        <v>25</v>
      </c>
      <c r="P26" s="17">
        <f t="shared" si="0"/>
        <v>0</v>
      </c>
    </row>
    <row r="27" spans="1:16">
      <c r="A27">
        <f t="shared" si="1"/>
        <v>26</v>
      </c>
      <c r="P27" s="17">
        <f t="shared" si="0"/>
        <v>0</v>
      </c>
    </row>
    <row r="28" spans="1:16">
      <c r="A28">
        <f t="shared" si="1"/>
        <v>27</v>
      </c>
      <c r="P28" s="17">
        <f t="shared" si="0"/>
        <v>0</v>
      </c>
    </row>
    <row r="29" spans="1:16">
      <c r="A29">
        <f t="shared" si="1"/>
        <v>28</v>
      </c>
      <c r="P29" s="17">
        <f t="shared" si="0"/>
        <v>0</v>
      </c>
    </row>
    <row r="30" spans="1:16">
      <c r="A30">
        <f t="shared" si="1"/>
        <v>29</v>
      </c>
      <c r="P30" s="17">
        <f t="shared" si="0"/>
        <v>0</v>
      </c>
    </row>
    <row r="31" spans="1:16">
      <c r="A31">
        <f t="shared" si="1"/>
        <v>30</v>
      </c>
      <c r="P31" s="17">
        <f t="shared" si="0"/>
        <v>0</v>
      </c>
    </row>
    <row r="32" spans="1:16">
      <c r="A32">
        <f t="shared" si="1"/>
        <v>31</v>
      </c>
      <c r="P32" s="17">
        <f t="shared" si="0"/>
        <v>0</v>
      </c>
    </row>
    <row r="33" spans="1:17" ht="25.5">
      <c r="A33" s="10" t="s">
        <v>45</v>
      </c>
      <c r="B33" s="17">
        <f t="shared" ref="B33:O33" si="2">SUM(B2:B32)</f>
        <v>0</v>
      </c>
      <c r="C33" s="17">
        <f t="shared" si="2"/>
        <v>0</v>
      </c>
      <c r="D33" s="17">
        <f t="shared" si="2"/>
        <v>0</v>
      </c>
      <c r="E33" s="17">
        <f t="shared" si="2"/>
        <v>0</v>
      </c>
      <c r="F33" s="17">
        <f t="shared" si="2"/>
        <v>0</v>
      </c>
      <c r="G33" s="17">
        <f t="shared" si="2"/>
        <v>0</v>
      </c>
      <c r="H33" s="17">
        <f t="shared" si="2"/>
        <v>0</v>
      </c>
      <c r="I33" s="17">
        <f t="shared" si="2"/>
        <v>0</v>
      </c>
      <c r="J33" s="17">
        <f t="shared" si="2"/>
        <v>0</v>
      </c>
      <c r="K33" s="17">
        <f t="shared" si="2"/>
        <v>0</v>
      </c>
      <c r="L33" s="17">
        <f t="shared" si="2"/>
        <v>0</v>
      </c>
      <c r="M33" s="17">
        <f t="shared" si="2"/>
        <v>0</v>
      </c>
      <c r="N33" s="17">
        <f t="shared" si="2"/>
        <v>0</v>
      </c>
      <c r="O33" s="17">
        <f t="shared" si="2"/>
        <v>0</v>
      </c>
      <c r="P33" s="17">
        <f>SUM(B33:O33)</f>
        <v>0</v>
      </c>
      <c r="Q33" s="11"/>
    </row>
    <row r="36" spans="1:17" s="18" customFormat="1">
      <c r="E36" s="83" t="s">
        <v>32</v>
      </c>
      <c r="F36" s="84"/>
      <c r="G36" s="83" t="s">
        <v>33</v>
      </c>
      <c r="H36" s="83"/>
      <c r="J36" s="83" t="s">
        <v>36</v>
      </c>
      <c r="K36" s="84"/>
    </row>
  </sheetData>
  <mergeCells count="3">
    <mergeCell ref="E36:F36"/>
    <mergeCell ref="G36:H36"/>
    <mergeCell ref="J36:K36"/>
  </mergeCells>
  <hyperlinks>
    <hyperlink ref="E36" location="Gesamt!A1" display="Gesamt"/>
    <hyperlink ref="G36" location="Einnahmen!A1" display="Einnahmen"/>
    <hyperlink ref="J36" location="AusgabenFix!A1" display="AusgabenFix"/>
  </hyperlink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 alignWithMargins="0">
    <oddHeader>&amp;C&amp;A</oddHeader>
    <oddFooter>&amp;CPage &amp;P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codeName="Tabelle19"/>
  <dimension ref="A1:N9"/>
  <sheetViews>
    <sheetView workbookViewId="0">
      <selection activeCell="G9" sqref="G9:H9"/>
    </sheetView>
  </sheetViews>
  <sheetFormatPr baseColWidth="10" defaultRowHeight="12.75"/>
  <sheetData>
    <row r="1" spans="1:14" s="15" customFormat="1">
      <c r="A1" s="15" t="s">
        <v>46</v>
      </c>
      <c r="B1" s="16" t="s">
        <v>0</v>
      </c>
      <c r="C1" s="16" t="s">
        <v>1</v>
      </c>
      <c r="D1" s="16" t="s">
        <v>2</v>
      </c>
      <c r="E1" s="16" t="s">
        <v>3</v>
      </c>
      <c r="F1" s="16" t="s">
        <v>4</v>
      </c>
      <c r="G1" s="16" t="s">
        <v>5</v>
      </c>
      <c r="H1" s="16" t="s">
        <v>6</v>
      </c>
      <c r="I1" s="16" t="s">
        <v>7</v>
      </c>
      <c r="J1" s="16" t="s">
        <v>8</v>
      </c>
      <c r="K1" s="16" t="s">
        <v>9</v>
      </c>
      <c r="L1" s="16" t="s">
        <v>10</v>
      </c>
      <c r="M1" s="16" t="s">
        <v>11</v>
      </c>
    </row>
    <row r="2" spans="1:14">
      <c r="A2" t="s">
        <v>47</v>
      </c>
      <c r="B2">
        <v>4973</v>
      </c>
      <c r="C2">
        <v>2255</v>
      </c>
      <c r="D2">
        <v>963</v>
      </c>
      <c r="E2">
        <v>5426</v>
      </c>
      <c r="F2">
        <v>4471</v>
      </c>
      <c r="N2" t="s">
        <v>53</v>
      </c>
    </row>
    <row r="3" spans="1:14">
      <c r="A3" t="s">
        <v>48</v>
      </c>
      <c r="B3">
        <v>12541</v>
      </c>
      <c r="C3">
        <v>13615</v>
      </c>
      <c r="D3">
        <v>13136</v>
      </c>
      <c r="E3">
        <v>12758</v>
      </c>
      <c r="N3" t="s">
        <v>54</v>
      </c>
    </row>
    <row r="4" spans="1:14">
      <c r="A4" t="s">
        <v>49</v>
      </c>
      <c r="B4">
        <v>1614</v>
      </c>
      <c r="E4">
        <v>4398</v>
      </c>
    </row>
    <row r="5" spans="1:14">
      <c r="A5" t="s">
        <v>50</v>
      </c>
      <c r="B5">
        <v>13283</v>
      </c>
    </row>
    <row r="6" spans="1:14">
      <c r="A6" s="4" t="s">
        <v>40</v>
      </c>
      <c r="B6" s="5">
        <f t="shared" ref="B6:L6" si="0">SUM(B2:B5)</f>
        <v>32411</v>
      </c>
      <c r="C6" s="5">
        <f t="shared" si="0"/>
        <v>15870</v>
      </c>
      <c r="D6" s="5">
        <f t="shared" si="0"/>
        <v>14099</v>
      </c>
      <c r="E6" s="5">
        <f t="shared" si="0"/>
        <v>22582</v>
      </c>
      <c r="F6" s="5">
        <f t="shared" si="0"/>
        <v>4471</v>
      </c>
      <c r="G6" s="5">
        <f t="shared" si="0"/>
        <v>0</v>
      </c>
      <c r="H6" s="5">
        <f t="shared" si="0"/>
        <v>0</v>
      </c>
      <c r="I6" s="5">
        <f t="shared" si="0"/>
        <v>0</v>
      </c>
      <c r="J6" s="5">
        <f t="shared" si="0"/>
        <v>0</v>
      </c>
      <c r="K6" s="5">
        <f t="shared" si="0"/>
        <v>0</v>
      </c>
      <c r="L6" s="5">
        <f t="shared" si="0"/>
        <v>0</v>
      </c>
      <c r="M6" s="5">
        <f>SUM(M2:M5)</f>
        <v>0</v>
      </c>
    </row>
    <row r="9" spans="1:14" s="18" customFormat="1">
      <c r="D9" s="83" t="s">
        <v>32</v>
      </c>
      <c r="E9" s="83"/>
      <c r="F9" s="19"/>
      <c r="G9" s="83" t="s">
        <v>33</v>
      </c>
      <c r="H9" s="83"/>
      <c r="J9" s="83" t="s">
        <v>36</v>
      </c>
      <c r="K9" s="83"/>
    </row>
  </sheetData>
  <mergeCells count="3">
    <mergeCell ref="D9:E9"/>
    <mergeCell ref="G9:H9"/>
    <mergeCell ref="J9:K9"/>
  </mergeCells>
  <hyperlinks>
    <hyperlink ref="B1" location="Januar!A1" display="Januar"/>
    <hyperlink ref="C1" location="Februar!A1" display="Februar"/>
    <hyperlink ref="D1" location="März!A1" display="März"/>
    <hyperlink ref="E1" location="April!A1" display="April"/>
    <hyperlink ref="F1" location="Mai!A1" display="Mai"/>
    <hyperlink ref="G1" location="Juni!A1" display="Juni"/>
    <hyperlink ref="H1" location="Juli!A1" display="Juli"/>
    <hyperlink ref="I1" location="August!A1" display="August"/>
    <hyperlink ref="J1" location="September!A1" display="September"/>
    <hyperlink ref="K1" location="Oktober!A1" display="Oktober"/>
    <hyperlink ref="L1" location="November!A1" display="November"/>
    <hyperlink ref="M1" location="Dezember!A1" display="Dezember"/>
    <hyperlink ref="D9" location="Gesamt!A1" display="Gesamt"/>
    <hyperlink ref="G9" location="Einnahmen!A1" display="Einnahmen"/>
    <hyperlink ref="J9" location="AusgabenFix!A1" display="AusgabenFix"/>
  </hyperlinks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Tabelle20"/>
  <dimension ref="A1:B23"/>
  <sheetViews>
    <sheetView workbookViewId="0">
      <selection activeCell="B2" sqref="B2:B5"/>
    </sheetView>
  </sheetViews>
  <sheetFormatPr baseColWidth="10" defaultRowHeight="12.75"/>
  <sheetData>
    <row r="1" spans="1:2">
      <c r="A1" t="s">
        <v>43</v>
      </c>
      <c r="B1" t="s">
        <v>33</v>
      </c>
    </row>
    <row r="2" spans="1:2">
      <c r="A2" s="2" t="s">
        <v>12</v>
      </c>
      <c r="B2" t="s">
        <v>37</v>
      </c>
    </row>
    <row r="3" spans="1:2">
      <c r="A3" s="2" t="s">
        <v>13</v>
      </c>
      <c r="B3" t="s">
        <v>38</v>
      </c>
    </row>
    <row r="4" spans="1:2">
      <c r="A4" s="2" t="s">
        <v>14</v>
      </c>
      <c r="B4" t="s">
        <v>39</v>
      </c>
    </row>
    <row r="5" spans="1:2">
      <c r="A5" s="2" t="s">
        <v>15</v>
      </c>
      <c r="B5" t="s">
        <v>24</v>
      </c>
    </row>
    <row r="6" spans="1:2">
      <c r="A6" s="2" t="s">
        <v>16</v>
      </c>
    </row>
    <row r="7" spans="1:2">
      <c r="A7" s="2" t="s">
        <v>17</v>
      </c>
    </row>
    <row r="8" spans="1:2">
      <c r="A8" s="2" t="s">
        <v>18</v>
      </c>
    </row>
    <row r="9" spans="1:2">
      <c r="A9" s="2" t="s">
        <v>19</v>
      </c>
    </row>
    <row r="10" spans="1:2">
      <c r="A10" s="2" t="s">
        <v>20</v>
      </c>
    </row>
    <row r="11" spans="1:2">
      <c r="A11" s="2" t="s">
        <v>21</v>
      </c>
    </row>
    <row r="12" spans="1:2">
      <c r="A12" s="2" t="s">
        <v>22</v>
      </c>
    </row>
    <row r="13" spans="1:2">
      <c r="A13" t="s">
        <v>52</v>
      </c>
    </row>
    <row r="14" spans="1:2">
      <c r="A14" s="2" t="s">
        <v>23</v>
      </c>
    </row>
    <row r="15" spans="1:2">
      <c r="A15" s="2" t="s">
        <v>24</v>
      </c>
    </row>
    <row r="16" spans="1:2">
      <c r="A16" t="s">
        <v>25</v>
      </c>
    </row>
    <row r="17" spans="1:1">
      <c r="A17" t="s">
        <v>26</v>
      </c>
    </row>
    <row r="18" spans="1:1">
      <c r="A18" t="s">
        <v>27</v>
      </c>
    </row>
    <row r="19" spans="1:1">
      <c r="A19" t="s">
        <v>15</v>
      </c>
    </row>
    <row r="20" spans="1:1">
      <c r="A20" t="s">
        <v>28</v>
      </c>
    </row>
    <row r="21" spans="1:1">
      <c r="A21" t="s">
        <v>29</v>
      </c>
    </row>
    <row r="22" spans="1:1">
      <c r="A22" t="s">
        <v>30</v>
      </c>
    </row>
    <row r="23" spans="1:1">
      <c r="A23" t="s">
        <v>31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4" baseType="variant">
      <vt:variant>
        <vt:lpstr>Arbeitsblätter</vt:lpstr>
      </vt:variant>
      <vt:variant>
        <vt:i4>23</vt:i4>
      </vt:variant>
      <vt:variant>
        <vt:lpstr>Benannte Bereiche</vt:lpstr>
      </vt:variant>
      <vt:variant>
        <vt:i4>4</vt:i4>
      </vt:variant>
    </vt:vector>
  </HeadingPairs>
  <TitlesOfParts>
    <vt:vector size="27" baseType="lpstr">
      <vt:lpstr>ExpenseCategories2</vt:lpstr>
      <vt:lpstr>ExpenseCategories</vt:lpstr>
      <vt:lpstr>Tabelle1</vt:lpstr>
      <vt:lpstr>Tabelle2</vt:lpstr>
      <vt:lpstr>09</vt:lpstr>
      <vt:lpstr>September</vt:lpstr>
      <vt:lpstr>Januar</vt:lpstr>
      <vt:lpstr>Configuration</vt:lpstr>
      <vt:lpstr>Gesamt</vt:lpstr>
      <vt:lpstr>Einnahmen</vt:lpstr>
      <vt:lpstr>AusgabenFix</vt:lpstr>
      <vt:lpstr>Februar</vt:lpstr>
      <vt:lpstr>März</vt:lpstr>
      <vt:lpstr>April</vt:lpstr>
      <vt:lpstr>Mai</vt:lpstr>
      <vt:lpstr>Juni</vt:lpstr>
      <vt:lpstr>Juli</vt:lpstr>
      <vt:lpstr>August</vt:lpstr>
      <vt:lpstr>Oktober</vt:lpstr>
      <vt:lpstr>November</vt:lpstr>
      <vt:lpstr>Dezember</vt:lpstr>
      <vt:lpstr>Finanzübersicht</vt:lpstr>
      <vt:lpstr>Konfiguration</vt:lpstr>
      <vt:lpstr>Tabelle1!_20101014_210654_2010_09</vt:lpstr>
      <vt:lpstr>ExpenseCategories!_20101014_210654_expenseCategories</vt:lpstr>
      <vt:lpstr>ExpenseCategories2!ExterneDaten_1</vt:lpstr>
      <vt:lpstr>'09'!ExterneDaten_9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Christof Simons</cp:lastModifiedBy>
  <dcterms:created xsi:type="dcterms:W3CDTF">2009-10-11T19:50:46Z</dcterms:created>
  <dcterms:modified xsi:type="dcterms:W3CDTF">2010-11-01T21:41:56Z</dcterms:modified>
</cp:coreProperties>
</file>