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queryTables/queryTable3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DieseArbeitsmappe"/>
  <bookViews>
    <workbookView xWindow="0" yWindow="0" windowWidth="11940" windowHeight="6810" tabRatio="169"/>
  </bookViews>
  <sheets>
    <sheet name="Übersicht" sheetId="418" r:id="rId1"/>
    <sheet name="Einnahmen" sheetId="419" r:id="rId2"/>
    <sheet name="Monatliche_Ausgaben" sheetId="420" r:id="rId3"/>
    <sheet name="January" sheetId="421" r:id="rId4"/>
    <sheet name="February" sheetId="422" r:id="rId5"/>
    <sheet name="March" sheetId="423" r:id="rId6"/>
    <sheet name="April" sheetId="424" r:id="rId7"/>
    <sheet name="May" sheetId="425" r:id="rId8"/>
    <sheet name="June" sheetId="426" r:id="rId9"/>
    <sheet name="July" sheetId="427" r:id="rId10"/>
    <sheet name="August" sheetId="428" r:id="rId11"/>
    <sheet name="September" sheetId="429" r:id="rId12"/>
    <sheet name="October" sheetId="430" r:id="rId13"/>
    <sheet name="November" sheetId="431" r:id="rId14"/>
    <sheet name="December" sheetId="432" r:id="rId15"/>
    <sheet name="Configuration" sheetId="20" r:id="rId16"/>
    <sheet name="ExpenseCategories" sheetId="433" state="veryHidden" r:id="rId17"/>
    <sheet name="09" sheetId="434" state="veryHidden" r:id="rId18"/>
    <sheet name="10" sheetId="435" state="veryHidden" r:id="rId19"/>
  </sheets>
  <definedNames>
    <definedName name="ExterneDaten_1" localSheetId="17">'09'!#REF!</definedName>
    <definedName name="ExterneDaten_1" localSheetId="18">'10'!#REF!</definedName>
    <definedName name="ExterneDaten_1" localSheetId="16">ExpenseCategories!#REF!</definedName>
    <definedName name="ExterneDaten_10" localSheetId="18">'10'!#REF!</definedName>
    <definedName name="ExterneDaten_11" localSheetId="18">'10'!#REF!</definedName>
    <definedName name="ExterneDaten_12" localSheetId="18">'10'!#REF!</definedName>
    <definedName name="ExterneDaten_13" localSheetId="18">'10'!$A$1:$E$35</definedName>
    <definedName name="ExterneDaten_2" localSheetId="17">'09'!#REF!</definedName>
    <definedName name="ExterneDaten_2" localSheetId="18">'10'!#REF!</definedName>
    <definedName name="ExterneDaten_2" localSheetId="16">ExpenseCategories!$A$1:$D$11</definedName>
    <definedName name="ExterneDaten_3" localSheetId="17">'09'!#REF!</definedName>
    <definedName name="ExterneDaten_3" localSheetId="18">'10'!#REF!</definedName>
    <definedName name="ExterneDaten_4" localSheetId="17">'09'!$A$1:$E$29</definedName>
    <definedName name="ExterneDaten_4" localSheetId="18">'10'!#REF!</definedName>
    <definedName name="ExterneDaten_5" localSheetId="18">'10'!#REF!</definedName>
    <definedName name="ExterneDaten_6" localSheetId="18">'10'!#REF!</definedName>
    <definedName name="ExterneDaten_7" localSheetId="18">'10'!#REF!</definedName>
    <definedName name="ExterneDaten_8" localSheetId="18">'10'!#REF!</definedName>
    <definedName name="ExterneDaten_9" localSheetId="18">'10'!#REF!</definedName>
  </definedNames>
  <calcPr calcId="114210"/>
</workbook>
</file>

<file path=xl/calcChain.xml><?xml version="1.0" encoding="utf-8"?>
<calcChain xmlns="http://schemas.openxmlformats.org/spreadsheetml/2006/main">
  <c r="N19" i="418"/>
  <c r="N18"/>
  <c r="N17"/>
  <c r="N16"/>
  <c r="N15"/>
  <c r="N14"/>
  <c r="N13"/>
  <c r="N12"/>
  <c r="M19"/>
  <c r="L19"/>
  <c r="K19"/>
  <c r="J19"/>
  <c r="I19"/>
  <c r="H19"/>
  <c r="G19"/>
  <c r="F19"/>
  <c r="E19"/>
  <c r="D19"/>
  <c r="C19"/>
  <c r="B19"/>
  <c r="I36" i="430"/>
  <c r="H36"/>
  <c r="G36"/>
  <c r="F36"/>
  <c r="E36"/>
  <c r="D36"/>
  <c r="C36"/>
  <c r="B36"/>
  <c r="I35"/>
  <c r="I34"/>
  <c r="I33"/>
  <c r="I32"/>
  <c r="I31"/>
  <c r="I30"/>
  <c r="I29"/>
  <c r="I28"/>
  <c r="I27"/>
  <c r="I26"/>
  <c r="I25"/>
  <c r="I24"/>
  <c r="I23"/>
  <c r="I22"/>
  <c r="I21"/>
  <c r="I20"/>
  <c r="I19"/>
  <c r="I18"/>
  <c r="I17"/>
  <c r="I16"/>
  <c r="I15"/>
  <c r="I14"/>
  <c r="I13"/>
  <c r="I12"/>
  <c r="I11"/>
  <c r="I10"/>
  <c r="I9"/>
  <c r="I8"/>
  <c r="I7"/>
  <c r="I6"/>
  <c r="I5"/>
  <c r="D34"/>
  <c r="B34"/>
  <c r="E9"/>
  <c r="B6"/>
  <c r="L5" i="431"/>
  <c r="C6"/>
  <c r="L6"/>
  <c r="L7"/>
  <c r="L8"/>
  <c r="H9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C34"/>
  <c r="G34"/>
  <c r="L34"/>
  <c r="L35"/>
  <c r="L36"/>
  <c r="K36"/>
  <c r="J36"/>
  <c r="I36"/>
  <c r="H36"/>
  <c r="G36"/>
  <c r="F36"/>
  <c r="E36"/>
  <c r="D36"/>
  <c r="C36"/>
  <c r="B36"/>
  <c r="G26" i="429"/>
  <c r="C21"/>
  <c r="G8"/>
  <c r="C8"/>
  <c r="L35"/>
  <c r="L34"/>
  <c r="L33"/>
  <c r="L32"/>
  <c r="L31"/>
  <c r="L30"/>
  <c r="L29"/>
  <c r="L28"/>
  <c r="L27"/>
  <c r="L26"/>
  <c r="L25"/>
  <c r="L24"/>
  <c r="L23"/>
  <c r="L22"/>
  <c r="L21"/>
  <c r="L20"/>
  <c r="L19"/>
  <c r="L18"/>
  <c r="L17"/>
  <c r="L16"/>
  <c r="L15"/>
  <c r="L14"/>
  <c r="L13"/>
  <c r="L12"/>
  <c r="L11"/>
  <c r="L10"/>
  <c r="L9"/>
  <c r="L8"/>
  <c r="L7"/>
  <c r="L6"/>
  <c r="L5"/>
  <c r="L36"/>
  <c r="K36"/>
  <c r="J36"/>
  <c r="I36"/>
  <c r="H36"/>
  <c r="G36"/>
  <c r="F36"/>
  <c r="E36"/>
  <c r="D36"/>
  <c r="C36"/>
  <c r="B36"/>
  <c r="N7" i="420"/>
  <c r="N6"/>
  <c r="N5"/>
  <c r="M7"/>
  <c r="L7"/>
  <c r="K7"/>
  <c r="J7"/>
  <c r="I7"/>
  <c r="H7"/>
  <c r="G7"/>
  <c r="F7"/>
  <c r="E7"/>
  <c r="D7"/>
  <c r="C7"/>
  <c r="B7"/>
  <c r="N7" i="419"/>
  <c r="N6"/>
  <c r="N5"/>
  <c r="M7"/>
  <c r="L7"/>
  <c r="K7"/>
  <c r="J7"/>
  <c r="I7"/>
  <c r="H7"/>
  <c r="G7"/>
  <c r="F7"/>
  <c r="E7"/>
  <c r="D7"/>
  <c r="C7"/>
  <c r="B7"/>
  <c r="N5" i="418"/>
  <c r="B5"/>
  <c r="M5"/>
  <c r="L5"/>
  <c r="K5"/>
  <c r="J5"/>
  <c r="I5"/>
  <c r="H5"/>
  <c r="G5"/>
  <c r="F5"/>
  <c r="E5"/>
  <c r="D5"/>
  <c r="C5"/>
</calcChain>
</file>

<file path=xl/comments1.xml><?xml version="1.0" encoding="utf-8"?>
<comments xmlns="http://schemas.openxmlformats.org/spreadsheetml/2006/main">
  <authors>
    <author>csimons</author>
  </authors>
  <commentList>
    <comment ref="B4" authorId="0">
      <text>
        <r>
          <rPr>
            <sz val="8"/>
            <color indexed="81"/>
            <rFont val="Tahoma"/>
          </rPr>
          <t>Default expense category for expenses of unknown type</t>
        </r>
      </text>
    </comment>
    <comment ref="C4" authorId="0">
      <text>
        <r>
          <rPr>
            <sz val="8"/>
            <color indexed="81"/>
            <rFont val="Tahoma"/>
          </rPr>
          <t>Lebensmittel, Getränke, ...</t>
        </r>
      </text>
    </comment>
    <comment ref="D4" authorId="0">
      <text>
        <r>
          <rPr>
            <sz val="8"/>
            <color indexed="81"/>
            <rFont val="Tahoma"/>
          </rPr>
          <t>Benzin, Fahrkarten, ...</t>
        </r>
      </text>
    </comment>
    <comment ref="E4" authorId="0">
      <text>
        <r>
          <rPr>
            <sz val="8"/>
            <color indexed="81"/>
            <rFont val="Tahoma"/>
          </rPr>
          <t>Restaurant, Kantine, ...</t>
        </r>
      </text>
    </comment>
    <comment ref="F4" authorId="0">
      <text>
        <r>
          <rPr>
            <sz val="8"/>
            <color indexed="81"/>
            <rFont val="Tahoma"/>
          </rPr>
          <t>Größere Anschaffungen</t>
        </r>
      </text>
    </comment>
    <comment ref="G4" authorId="0">
      <text>
        <r>
          <rPr>
            <sz val="8"/>
            <color indexed="81"/>
            <rFont val="Tahoma"/>
          </rPr>
          <t>Kneipe, Kino, ...</t>
        </r>
      </text>
    </comment>
    <comment ref="H4" authorId="0">
      <text>
        <r>
          <rPr>
            <sz val="8"/>
            <color indexed="81"/>
            <rFont val="Tahoma"/>
          </rPr>
          <t>Arznei, Arztbesuch, ...</t>
        </r>
      </text>
    </comment>
    <comment ref="I4" authorId="0">
      <text>
        <r>
          <rPr>
            <sz val="8"/>
            <color indexed="81"/>
            <rFont val="Tahoma"/>
          </rPr>
          <t>Hygieneartikel, Friseur, ...</t>
        </r>
      </text>
    </comment>
    <comment ref="J4" authorId="0">
      <text>
        <r>
          <rPr>
            <sz val="8"/>
            <color indexed="81"/>
            <rFont val="Tahoma"/>
          </rPr>
          <t>Kleidung</t>
        </r>
      </text>
    </comment>
    <comment ref="K4" authorId="0">
      <text>
        <r>
          <rPr>
            <sz val="8"/>
            <color indexed="81"/>
            <rFont val="Tahoma"/>
          </rPr>
          <t xml:space="preserve">Bücher </t>
        </r>
      </text>
    </comment>
    <comment ref="G5" authorId="0">
      <text>
        <r>
          <rPr>
            <sz val="8"/>
            <color indexed="81"/>
            <rFont val="Tahoma"/>
          </rPr>
          <t xml:space="preserve">Geschenk Yannick(47) </t>
        </r>
      </text>
    </comment>
    <comment ref="H12" authorId="0">
      <text>
        <r>
          <rPr>
            <sz val="8"/>
            <color indexed="81"/>
            <rFont val="Tahoma"/>
          </rPr>
          <t xml:space="preserve">Lippensalbe(9) </t>
        </r>
      </text>
    </comment>
    <comment ref="F17" authorId="0">
      <text>
        <r>
          <rPr>
            <sz val="8"/>
            <color indexed="81"/>
            <rFont val="Tahoma"/>
          </rPr>
          <t xml:space="preserve">Bettlaken (20) </t>
        </r>
      </text>
    </comment>
    <comment ref="I20" authorId="0">
      <text>
        <r>
          <rPr>
            <sz val="8"/>
            <color indexed="81"/>
            <rFont val="Tahoma"/>
          </rPr>
          <t xml:space="preserve">Friseur (13) </t>
        </r>
      </text>
    </comment>
    <comment ref="C21" authorId="0">
      <text>
        <r>
          <rPr>
            <sz val="8"/>
            <color indexed="81"/>
            <rFont val="Tahoma"/>
          </rPr>
          <t xml:space="preserve">Real (5) </t>
        </r>
      </text>
    </comment>
    <comment ref="H24" authorId="0">
      <text>
        <r>
          <rPr>
            <sz val="8"/>
            <color indexed="81"/>
            <rFont val="Tahoma"/>
          </rPr>
          <t xml:space="preserve">Apotheke(26) </t>
        </r>
      </text>
    </comment>
  </commentList>
</comments>
</file>

<file path=xl/comments2.xml><?xml version="1.0" encoding="utf-8"?>
<comments xmlns="http://schemas.openxmlformats.org/spreadsheetml/2006/main">
  <authors>
    <author>csimons</author>
  </authors>
  <commentList>
    <comment ref="B4" authorId="0">
      <text/>
    </comment>
    <comment ref="C4" authorId="0">
      <text/>
    </comment>
    <comment ref="D4" authorId="0">
      <text/>
    </comment>
    <comment ref="E4" authorId="0">
      <text/>
    </comment>
    <comment ref="F4" authorId="0">
      <text/>
    </comment>
    <comment ref="G4" authorId="0">
      <text/>
    </comment>
    <comment ref="H4" authorId="0">
      <text/>
    </comment>
    <comment ref="B6" authorId="0">
      <text>
        <r>
          <rPr>
            <sz val="8"/>
            <color indexed="81"/>
            <rFont val="Tahoma"/>
          </rPr>
          <t xml:space="preserve">Aldi (21) Real (11) Rewe (6) </t>
        </r>
      </text>
    </comment>
    <comment ref="C6" authorId="0">
      <text>
        <r>
          <rPr>
            <sz val="8"/>
            <color indexed="81"/>
            <rFont val="Tahoma"/>
          </rPr>
          <t xml:space="preserve">Besenstiel (3) </t>
        </r>
      </text>
    </comment>
    <comment ref="C8" authorId="0">
      <text>
        <r>
          <rPr>
            <sz val="8"/>
            <color indexed="81"/>
            <rFont val="Tahoma"/>
          </rPr>
          <t xml:space="preserve">Garderobe (175) </t>
        </r>
      </text>
    </comment>
    <comment ref="E9" authorId="0">
      <text>
        <r>
          <rPr>
            <sz val="8"/>
            <color indexed="81"/>
            <rFont val="Tahoma"/>
          </rPr>
          <t xml:space="preserve">Zahnarztgebühren (10) Mundwasser (9) </t>
        </r>
      </text>
    </comment>
    <comment ref="B13" authorId="0">
      <text>
        <r>
          <rPr>
            <sz val="8"/>
            <color indexed="81"/>
            <rFont val="Tahoma"/>
          </rPr>
          <t xml:space="preserve">Real (15) </t>
        </r>
      </text>
    </comment>
    <comment ref="G13" authorId="0">
      <text>
        <r>
          <rPr>
            <sz val="8"/>
            <color indexed="81"/>
            <rFont val="Tahoma"/>
          </rPr>
          <t xml:space="preserve">Tanken (51) </t>
        </r>
      </text>
    </comment>
    <comment ref="B20" authorId="0">
      <text>
        <r>
          <rPr>
            <sz val="8"/>
            <color indexed="81"/>
            <rFont val="Tahoma"/>
          </rPr>
          <t xml:space="preserve">Aldi (15) </t>
        </r>
      </text>
    </comment>
    <comment ref="G21" authorId="0">
      <text>
        <r>
          <rPr>
            <sz val="8"/>
            <color indexed="81"/>
            <rFont val="Tahoma"/>
          </rPr>
          <t xml:space="preserve">Tanken (30) </t>
        </r>
      </text>
    </comment>
    <comment ref="D23" authorId="0">
      <text>
        <r>
          <rPr>
            <sz val="8"/>
            <color indexed="81"/>
            <rFont val="Tahoma"/>
          </rPr>
          <t xml:space="preserve">Geschenk Jens(10) </t>
        </r>
      </text>
    </comment>
    <comment ref="H23" authorId="0">
      <text>
        <r>
          <rPr>
            <sz val="8"/>
            <color indexed="81"/>
            <rFont val="Tahoma"/>
          </rPr>
          <t xml:space="preserve">Friseur (12) </t>
        </r>
      </text>
    </comment>
    <comment ref="D26" authorId="0">
      <text>
        <r>
          <rPr>
            <sz val="8"/>
            <color indexed="81"/>
            <rFont val="Tahoma"/>
          </rPr>
          <t xml:space="preserve">Zimmer Prag (133) </t>
        </r>
      </text>
    </comment>
    <comment ref="D27" authorId="0">
      <text>
        <r>
          <rPr>
            <sz val="8"/>
            <color indexed="81"/>
            <rFont val="Tahoma"/>
          </rPr>
          <t xml:space="preserve">Prag Urlaub (300) </t>
        </r>
      </text>
    </comment>
    <comment ref="B31" authorId="0">
      <text>
        <r>
          <rPr>
            <sz val="8"/>
            <color indexed="81"/>
            <rFont val="Tahoma"/>
          </rPr>
          <t xml:space="preserve">Aldi(27) </t>
        </r>
      </text>
    </comment>
    <comment ref="C31" authorId="0">
      <text>
        <r>
          <rPr>
            <sz val="8"/>
            <color indexed="81"/>
            <rFont val="Tahoma"/>
          </rPr>
          <t xml:space="preserve">Pokerchips(87) </t>
        </r>
      </text>
    </comment>
    <comment ref="D33" authorId="0">
      <text>
        <r>
          <rPr>
            <sz val="8"/>
            <color indexed="81"/>
            <rFont val="Tahoma"/>
          </rPr>
          <t xml:space="preserve">Abschied Philipp (5) </t>
        </r>
      </text>
    </comment>
    <comment ref="B34" authorId="0">
      <text>
        <r>
          <rPr>
            <sz val="8"/>
            <color indexed="81"/>
            <rFont val="Tahoma"/>
          </rPr>
          <t xml:space="preserve">Aldi (24) Real (14) </t>
        </r>
      </text>
    </comment>
  </commentList>
</comments>
</file>

<file path=xl/comments3.xml><?xml version="1.0" encoding="utf-8"?>
<comments xmlns="http://schemas.openxmlformats.org/spreadsheetml/2006/main">
  <authors>
    <author>csimons</author>
  </authors>
  <commentList>
    <comment ref="B4" authorId="0">
      <text>
        <r>
          <rPr>
            <sz val="8"/>
            <color indexed="81"/>
            <rFont val="Tahoma"/>
          </rPr>
          <t>Default expense category for expenses of unknown type</t>
        </r>
      </text>
    </comment>
    <comment ref="C4" authorId="0">
      <text>
        <r>
          <rPr>
            <sz val="8"/>
            <color indexed="81"/>
            <rFont val="Tahoma"/>
          </rPr>
          <t>Lebensmittel, Getränke, ...</t>
        </r>
      </text>
    </comment>
    <comment ref="D4" authorId="0">
      <text>
        <r>
          <rPr>
            <sz val="8"/>
            <color indexed="81"/>
            <rFont val="Tahoma"/>
          </rPr>
          <t>Benzin, Fahrkarten, ...</t>
        </r>
      </text>
    </comment>
    <comment ref="E4" authorId="0">
      <text>
        <r>
          <rPr>
            <sz val="8"/>
            <color indexed="81"/>
            <rFont val="Tahoma"/>
          </rPr>
          <t>Restaurant, Kantine, ...</t>
        </r>
      </text>
    </comment>
    <comment ref="F4" authorId="0">
      <text>
        <r>
          <rPr>
            <sz val="8"/>
            <color indexed="81"/>
            <rFont val="Tahoma"/>
          </rPr>
          <t>Größere Anschaffungen</t>
        </r>
      </text>
    </comment>
    <comment ref="G4" authorId="0">
      <text>
        <r>
          <rPr>
            <sz val="8"/>
            <color indexed="81"/>
            <rFont val="Tahoma"/>
          </rPr>
          <t>Kneipe, Kino, ...</t>
        </r>
      </text>
    </comment>
    <comment ref="H4" authorId="0">
      <text>
        <r>
          <rPr>
            <sz val="8"/>
            <color indexed="81"/>
            <rFont val="Tahoma"/>
          </rPr>
          <t>Arznei, Arztbesuch, ...</t>
        </r>
      </text>
    </comment>
    <comment ref="I4" authorId="0">
      <text>
        <r>
          <rPr>
            <sz val="8"/>
            <color indexed="81"/>
            <rFont val="Tahoma"/>
          </rPr>
          <t>Hygieneartikel, Friseur, ...</t>
        </r>
      </text>
    </comment>
    <comment ref="J4" authorId="0">
      <text>
        <r>
          <rPr>
            <sz val="8"/>
            <color indexed="81"/>
            <rFont val="Tahoma"/>
          </rPr>
          <t>Kleidung</t>
        </r>
      </text>
    </comment>
    <comment ref="K4" authorId="0">
      <text>
        <r>
          <rPr>
            <sz val="8"/>
            <color indexed="81"/>
            <rFont val="Tahoma"/>
          </rPr>
          <t xml:space="preserve">Bücher </t>
        </r>
      </text>
    </comment>
    <comment ref="C6" authorId="0">
      <text>
        <r>
          <rPr>
            <sz val="8"/>
            <color indexed="81"/>
            <rFont val="Tahoma"/>
          </rPr>
          <t xml:space="preserve">Aldi (21) Real (11) Rewe (6) </t>
        </r>
      </text>
    </comment>
    <comment ref="F6" authorId="0">
      <text>
        <r>
          <rPr>
            <sz val="8"/>
            <color indexed="81"/>
            <rFont val="Tahoma"/>
          </rPr>
          <t xml:space="preserve">Besenstiel (3) </t>
        </r>
      </text>
    </comment>
    <comment ref="F8" authorId="0">
      <text>
        <r>
          <rPr>
            <sz val="8"/>
            <color indexed="81"/>
            <rFont val="Tahoma"/>
          </rPr>
          <t xml:space="preserve">Garderobe (175) </t>
        </r>
      </text>
    </comment>
    <comment ref="H9" authorId="0">
      <text>
        <r>
          <rPr>
            <sz val="8"/>
            <color indexed="81"/>
            <rFont val="Tahoma"/>
          </rPr>
          <t xml:space="preserve">Zahnarztgebühren (10) Mundwasser (9) </t>
        </r>
      </text>
    </comment>
    <comment ref="C13" authorId="0">
      <text>
        <r>
          <rPr>
            <sz val="8"/>
            <color indexed="81"/>
            <rFont val="Tahoma"/>
          </rPr>
          <t xml:space="preserve">Real (15) </t>
        </r>
      </text>
    </comment>
    <comment ref="D13" authorId="0">
      <text>
        <r>
          <rPr>
            <sz val="8"/>
            <color indexed="81"/>
            <rFont val="Tahoma"/>
          </rPr>
          <t xml:space="preserve">Tanken (51) </t>
        </r>
      </text>
    </comment>
    <comment ref="C20" authorId="0">
      <text>
        <r>
          <rPr>
            <sz val="8"/>
            <color indexed="81"/>
            <rFont val="Tahoma"/>
          </rPr>
          <t xml:space="preserve">Aldi (15) </t>
        </r>
      </text>
    </comment>
    <comment ref="D21" authorId="0">
      <text>
        <r>
          <rPr>
            <sz val="8"/>
            <color indexed="81"/>
            <rFont val="Tahoma"/>
          </rPr>
          <t xml:space="preserve">Tanken (30) </t>
        </r>
      </text>
    </comment>
    <comment ref="G23" authorId="0">
      <text>
        <r>
          <rPr>
            <sz val="8"/>
            <color indexed="81"/>
            <rFont val="Tahoma"/>
          </rPr>
          <t xml:space="preserve">Geschenk Jens(10) </t>
        </r>
      </text>
    </comment>
    <comment ref="I23" authorId="0">
      <text>
        <r>
          <rPr>
            <sz val="8"/>
            <color indexed="81"/>
            <rFont val="Tahoma"/>
          </rPr>
          <t xml:space="preserve">Friseur (12) </t>
        </r>
      </text>
    </comment>
    <comment ref="G26" authorId="0">
      <text>
        <r>
          <rPr>
            <sz val="8"/>
            <color indexed="81"/>
            <rFont val="Tahoma"/>
          </rPr>
          <t xml:space="preserve">Zimmer Prag (133) </t>
        </r>
      </text>
    </comment>
    <comment ref="G27" authorId="0">
      <text>
        <r>
          <rPr>
            <sz val="8"/>
            <color indexed="81"/>
            <rFont val="Tahoma"/>
          </rPr>
          <t xml:space="preserve">Prag Urlaub (300) </t>
        </r>
      </text>
    </comment>
    <comment ref="C31" authorId="0">
      <text>
        <r>
          <rPr>
            <sz val="8"/>
            <color indexed="81"/>
            <rFont val="Tahoma"/>
          </rPr>
          <t xml:space="preserve">Aldi(27) </t>
        </r>
      </text>
    </comment>
    <comment ref="F31" authorId="0">
      <text>
        <r>
          <rPr>
            <sz val="8"/>
            <color indexed="81"/>
            <rFont val="Tahoma"/>
          </rPr>
          <t xml:space="preserve">Pokerchips(87) </t>
        </r>
      </text>
    </comment>
    <comment ref="G33" authorId="0">
      <text>
        <r>
          <rPr>
            <sz val="8"/>
            <color indexed="81"/>
            <rFont val="Tahoma"/>
          </rPr>
          <t xml:space="preserve">Abschied Philipp (5) </t>
        </r>
      </text>
    </comment>
    <comment ref="C34" authorId="0">
      <text>
        <r>
          <rPr>
            <sz val="8"/>
            <color indexed="81"/>
            <rFont val="Tahoma"/>
          </rPr>
          <t xml:space="preserve">Aldi (24) Real (14) </t>
        </r>
      </text>
    </comment>
  </commentList>
</comments>
</file>

<file path=xl/connections.xml><?xml version="1.0" encoding="utf-8"?>
<connections xmlns="http://schemas.openxmlformats.org/spreadsheetml/2006/main">
  <connection id="1" name="20101014_210654_2010-091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2" name="20101014_210654_2010-092" type="6" refreshedVersion="3" background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3" name="20101014_210654_2010-093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4" name="20101014_210654_2010-094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5" name="20101014_210654_2010-095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6" name="20101014_210654_2010-096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7" name="20101014_210654_2010-097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8" name="20101014_210654_2010-098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9" name="20101123_133752_2010-09" type="6" refreshedVersion="2" background="1" saveData="1">
    <textPr prompt="0" codePage="65001" sourceFile="C:\WINDOWS\Profiles\csimons\Desktop\tmp\20101123_133752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10" name="20101123_133752_2010-10" type="6" refreshedVersion="2" background="1" saveData="1">
    <textPr prompt="0" codePage="65001" sourceFile="C:\WINDOWS\Profiles\csimons\Desktop\tmp\20101123_133752_2010-10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11" name="20101123_133752_expenseCategories" type="6" refreshedVersion="2" background="1" saveData="1">
    <textPr prompt="0" codePage="65001" sourceFile="C:\WINDOWS\Profiles\csimons\Desktop\tmp\20101123_133752_expenseCategories.csv" decimal="," thousands="." comma="1">
      <textFields count="4"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<sst xmlns="http://schemas.openxmlformats.org/spreadsheetml/2006/main" count="508" uniqueCount="190">
  <si>
    <t>April</t>
  </si>
  <si>
    <t>August</t>
  </si>
  <si>
    <t>September</t>
  </si>
  <si>
    <t>November</t>
  </si>
  <si>
    <t>Gesamt</t>
  </si>
  <si>
    <t>Ausgaben</t>
  </si>
  <si>
    <t>Expenses</t>
  </si>
  <si>
    <t>Key</t>
  </si>
  <si>
    <t>Value</t>
  </si>
  <si>
    <t>Total</t>
  </si>
  <si>
    <t>HeaderRow</t>
  </si>
  <si>
    <t>ExpensesBackground</t>
  </si>
  <si>
    <t>January</t>
  </si>
  <si>
    <t>February</t>
  </si>
  <si>
    <t>March</t>
  </si>
  <si>
    <t>May</t>
  </si>
  <si>
    <t>June</t>
  </si>
  <si>
    <t>July</t>
  </si>
  <si>
    <t>October</t>
  </si>
  <si>
    <t>December</t>
  </si>
  <si>
    <t>ImportCategoriesMsg</t>
  </si>
  <si>
    <t>Select the expense categories file</t>
  </si>
  <si>
    <t>ImportExpensesMsg</t>
  </si>
  <si>
    <t>Select the expenses file</t>
  </si>
  <si>
    <t>CreateExpensesWorkbook</t>
  </si>
  <si>
    <t>Do you want to create a new expenses workbook? All data will be lost.</t>
  </si>
  <si>
    <t>OverviewSheet</t>
  </si>
  <si>
    <t>IncomeSheet</t>
  </si>
  <si>
    <t>Income</t>
  </si>
  <si>
    <t>MonthlyExpensesSheet</t>
  </si>
  <si>
    <t>Einnahmen</t>
  </si>
  <si>
    <t>IncomeBackground</t>
  </si>
  <si>
    <t>ImportSuccessFulMsg</t>
  </si>
  <si>
    <t>Successfully imported data</t>
  </si>
  <si>
    <t>TitleRow</t>
  </si>
  <si>
    <t>MonthlyExpenses</t>
  </si>
  <si>
    <t>Monatliche Ausgaben</t>
  </si>
  <si>
    <t>Übersicht</t>
  </si>
  <si>
    <t>Monatliche_Ausgaben</t>
  </si>
  <si>
    <t>_id</t>
  </si>
  <si>
    <t>name</t>
  </si>
  <si>
    <t>description</t>
  </si>
  <si>
    <t>deleted</t>
  </si>
  <si>
    <t>1</t>
  </si>
  <si>
    <t>Unknown</t>
  </si>
  <si>
    <t>Default expense category for expenses of unknown type</t>
  </si>
  <si>
    <t>FALSE</t>
  </si>
  <si>
    <t>2</t>
  </si>
  <si>
    <t>Lebensmittel</t>
  </si>
  <si>
    <t>Lebensmittel, Getränke, ...</t>
  </si>
  <si>
    <t>3</t>
  </si>
  <si>
    <t>Verkehr</t>
  </si>
  <si>
    <t>Benzin, Fahrkarten, ...</t>
  </si>
  <si>
    <t>4</t>
  </si>
  <si>
    <t>Essen</t>
  </si>
  <si>
    <t>Restaurant, Kantine, ...</t>
  </si>
  <si>
    <t>5</t>
  </si>
  <si>
    <t>Anschaffung</t>
  </si>
  <si>
    <t>Größere Anschaffungen</t>
  </si>
  <si>
    <t>6</t>
  </si>
  <si>
    <t>Freizeit</t>
  </si>
  <si>
    <t>Kneipe, Kino, ...</t>
  </si>
  <si>
    <t>7</t>
  </si>
  <si>
    <t>Gesundheit</t>
  </si>
  <si>
    <t>Arznei, Arztbesuch, ...</t>
  </si>
  <si>
    <t>8</t>
  </si>
  <si>
    <t xml:space="preserve">Hygiene </t>
  </si>
  <si>
    <t>Hygieneartikel, Friseur, ...</t>
  </si>
  <si>
    <t>9</t>
  </si>
  <si>
    <t>Kleidung</t>
  </si>
  <si>
    <t>10</t>
  </si>
  <si>
    <t xml:space="preserve">Bücher </t>
  </si>
  <si>
    <t>expenseDate</t>
  </si>
  <si>
    <t>amount</t>
  </si>
  <si>
    <t>details</t>
  </si>
  <si>
    <t>expenseCategoryId</t>
  </si>
  <si>
    <t>2010-09-01</t>
  </si>
  <si>
    <t>47</t>
  </si>
  <si>
    <t>Geschenk Yannick</t>
  </si>
  <si>
    <t>2010-09-03</t>
  </si>
  <si>
    <t>2010-09-04</t>
  </si>
  <si>
    <t>13</t>
  </si>
  <si>
    <t>11</t>
  </si>
  <si>
    <t>40</t>
  </si>
  <si>
    <t>2010-09-05</t>
  </si>
  <si>
    <t>2010-09-06</t>
  </si>
  <si>
    <t>2010-09-11</t>
  </si>
  <si>
    <t>100</t>
  </si>
  <si>
    <t>2010-09-13</t>
  </si>
  <si>
    <t>20</t>
  </si>
  <si>
    <t xml:space="preserve">Bettlaken </t>
  </si>
  <si>
    <t>12</t>
  </si>
  <si>
    <t>2010-09-08</t>
  </si>
  <si>
    <t>Lippensalbe</t>
  </si>
  <si>
    <t>14</t>
  </si>
  <si>
    <t>2010-09-14</t>
  </si>
  <si>
    <t>15</t>
  </si>
  <si>
    <t>2010-09-16</t>
  </si>
  <si>
    <t>16</t>
  </si>
  <si>
    <t xml:space="preserve">Friseur </t>
  </si>
  <si>
    <t>17</t>
  </si>
  <si>
    <t>2010-09-17</t>
  </si>
  <si>
    <t xml:space="preserve">Real </t>
  </si>
  <si>
    <t>18</t>
  </si>
  <si>
    <t>19</t>
  </si>
  <si>
    <t>2010-09-18</t>
  </si>
  <si>
    <t>25</t>
  </si>
  <si>
    <t>21</t>
  </si>
  <si>
    <t>2010-09-21</t>
  </si>
  <si>
    <t>22</t>
  </si>
  <si>
    <t>2010-09-20</t>
  </si>
  <si>
    <t>26</t>
  </si>
  <si>
    <t>Apotheke</t>
  </si>
  <si>
    <t>23</t>
  </si>
  <si>
    <t>2010-09-22</t>
  </si>
  <si>
    <t>24</t>
  </si>
  <si>
    <t>2010-09-24</t>
  </si>
  <si>
    <t>27</t>
  </si>
  <si>
    <t>28</t>
  </si>
  <si>
    <t>2010-09-30</t>
  </si>
  <si>
    <t>29</t>
  </si>
  <si>
    <t>2010-10-02</t>
  </si>
  <si>
    <t xml:space="preserve">Aldi </t>
  </si>
  <si>
    <t>30</t>
  </si>
  <si>
    <t xml:space="preserve">Besenstiel </t>
  </si>
  <si>
    <t>31</t>
  </si>
  <si>
    <t>32</t>
  </si>
  <si>
    <t>33</t>
  </si>
  <si>
    <t xml:space="preserve">Rewe </t>
  </si>
  <si>
    <t>34</t>
  </si>
  <si>
    <t>2010-10-04</t>
  </si>
  <si>
    <t>175</t>
  </si>
  <si>
    <t xml:space="preserve">Garderobe </t>
  </si>
  <si>
    <t>35</t>
  </si>
  <si>
    <t>2010-10-05</t>
  </si>
  <si>
    <t xml:space="preserve">Zahnarztgebühren </t>
  </si>
  <si>
    <t>36</t>
  </si>
  <si>
    <t xml:space="preserve">Mundwasser </t>
  </si>
  <si>
    <t>37</t>
  </si>
  <si>
    <t>2010-10-06</t>
  </si>
  <si>
    <t>38</t>
  </si>
  <si>
    <t>2010-10-07</t>
  </si>
  <si>
    <t>39</t>
  </si>
  <si>
    <t>2010-10-08</t>
  </si>
  <si>
    <t>2010-10-09</t>
  </si>
  <si>
    <t>51</t>
  </si>
  <si>
    <t xml:space="preserve">Tanken </t>
  </si>
  <si>
    <t>41</t>
  </si>
  <si>
    <t>42</t>
  </si>
  <si>
    <t>43</t>
  </si>
  <si>
    <t>2010-10-12</t>
  </si>
  <si>
    <t>44</t>
  </si>
  <si>
    <t>2010-10-14</t>
  </si>
  <si>
    <t>45</t>
  </si>
  <si>
    <t>2010-10-16</t>
  </si>
  <si>
    <t>46</t>
  </si>
  <si>
    <t>2010-10-17</t>
  </si>
  <si>
    <t>48</t>
  </si>
  <si>
    <t>2010-10-18</t>
  </si>
  <si>
    <t>49</t>
  </si>
  <si>
    <t>2010-10-19</t>
  </si>
  <si>
    <t>50</t>
  </si>
  <si>
    <t>Geschenk Jens</t>
  </si>
  <si>
    <t>2010-10-26</t>
  </si>
  <si>
    <t>52</t>
  </si>
  <si>
    <t>2010-10-25</t>
  </si>
  <si>
    <t>53</t>
  </si>
  <si>
    <t>2010-10-22</t>
  </si>
  <si>
    <t>133</t>
  </si>
  <si>
    <t xml:space="preserve">Zimmer Prag </t>
  </si>
  <si>
    <t>54</t>
  </si>
  <si>
    <t>2010-10-23</t>
  </si>
  <si>
    <t>300</t>
  </si>
  <si>
    <t xml:space="preserve">Prag Urlaub </t>
  </si>
  <si>
    <t>55</t>
  </si>
  <si>
    <t>2010-10-27</t>
  </si>
  <si>
    <t>Aldi</t>
  </si>
  <si>
    <t>56</t>
  </si>
  <si>
    <t>87</t>
  </si>
  <si>
    <t>Pokerchips</t>
  </si>
  <si>
    <t>57</t>
  </si>
  <si>
    <t>2010-10-28</t>
  </si>
  <si>
    <t>58</t>
  </si>
  <si>
    <t>2010-10-29</t>
  </si>
  <si>
    <t xml:space="preserve">Abschied Philipp </t>
  </si>
  <si>
    <t>59</t>
  </si>
  <si>
    <t>2010-10-30</t>
  </si>
  <si>
    <t>60</t>
  </si>
  <si>
    <t>61</t>
  </si>
  <si>
    <t>62</t>
  </si>
</sst>
</file>

<file path=xl/styles.xml><?xml version="1.0" encoding="utf-8"?>
<styleSheet xmlns="http://schemas.openxmlformats.org/spreadsheetml/2006/main">
  <fonts count="9"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u/>
      <sz val="10"/>
      <color indexed="12"/>
      <name val="Arial"/>
      <family val="2"/>
    </font>
    <font>
      <b/>
      <u/>
      <sz val="10"/>
      <name val="Arial"/>
      <family val="2"/>
    </font>
    <font>
      <b/>
      <u/>
      <sz val="14"/>
      <name val="Arial"/>
      <family val="2"/>
    </font>
    <font>
      <sz val="8"/>
      <color indexed="81"/>
      <name val="Tahoma"/>
    </font>
  </fonts>
  <fills count="4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5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14">
    <xf numFmtId="0" fontId="0" fillId="0" borderId="0" xfId="0"/>
    <xf numFmtId="0" fontId="2" fillId="0" borderId="0" xfId="0" applyFont="1" applyFill="1"/>
    <xf numFmtId="0" fontId="3" fillId="0" borderId="0" xfId="0" applyFont="1" applyFill="1"/>
    <xf numFmtId="0" fontId="3" fillId="2" borderId="0" xfId="0" applyFont="1" applyFill="1"/>
    <xf numFmtId="0" fontId="3" fillId="3" borderId="0" xfId="0" applyFont="1" applyFill="1"/>
    <xf numFmtId="0" fontId="4" fillId="0" borderId="0" xfId="0" applyFont="1" applyFill="1"/>
    <xf numFmtId="0" fontId="5" fillId="0" borderId="0" xfId="1" applyFill="1" applyAlignment="1" applyProtection="1"/>
    <xf numFmtId="0" fontId="6" fillId="2" borderId="0" xfId="1" applyFont="1" applyFill="1" applyAlignment="1" applyProtection="1">
      <alignment horizontal="center"/>
    </xf>
    <xf numFmtId="0" fontId="6" fillId="3" borderId="0" xfId="1" applyFont="1" applyFill="1" applyAlignment="1" applyProtection="1">
      <alignment horizontal="center"/>
    </xf>
    <xf numFmtId="0" fontId="7" fillId="0" borderId="0" xfId="1" applyFont="1" applyFill="1" applyAlignment="1" applyProtection="1"/>
    <xf numFmtId="49" fontId="0" fillId="0" borderId="0" xfId="0" applyNumberFormat="1"/>
    <xf numFmtId="0" fontId="3" fillId="0" borderId="0" xfId="0" applyFont="1"/>
    <xf numFmtId="0" fontId="4" fillId="0" borderId="0" xfId="0" applyFont="1"/>
    <xf numFmtId="0" fontId="7" fillId="0" borderId="0" xfId="1" applyFont="1" applyAlignment="1" applyProtection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66"/>
      <rgbColor rgb="00CC99FF"/>
      <rgbColor rgb="00FFCC99"/>
      <rgbColor rgb="003366FF"/>
      <rgbColor rgb="0033CC66"/>
      <rgbColor rgb="0099CC00"/>
      <rgbColor rgb="00FFCC00"/>
      <rgbColor rgb="00FF9900"/>
      <rgbColor rgb="00FF420E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ExterneDaten_2" connectionId="11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eDaten_4" connectionId="9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eDaten_13" connectionId="10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03"/>
  <dimension ref="A2:N21"/>
  <sheetViews>
    <sheetView tabSelected="1" workbookViewId="0">
      <selection activeCell="F42" sqref="F42"/>
    </sheetView>
  </sheetViews>
  <sheetFormatPr defaultColWidth="11.42578125" defaultRowHeight="12.75"/>
  <cols>
    <col min="1" max="16384" width="11.42578125" style="1"/>
  </cols>
  <sheetData>
    <row r="2" spans="1:14" ht="18">
      <c r="G2" s="5" t="s">
        <v>30</v>
      </c>
    </row>
    <row r="4" spans="1:14">
      <c r="A4" s="3" t="s">
        <v>30</v>
      </c>
      <c r="B4" s="7" t="s">
        <v>12</v>
      </c>
      <c r="C4" s="7" t="s">
        <v>13</v>
      </c>
      <c r="D4" s="7" t="s">
        <v>14</v>
      </c>
      <c r="E4" s="7" t="s">
        <v>0</v>
      </c>
      <c r="F4" s="7" t="s">
        <v>15</v>
      </c>
      <c r="G4" s="7" t="s">
        <v>16</v>
      </c>
      <c r="H4" s="7" t="s">
        <v>17</v>
      </c>
      <c r="I4" s="7" t="s">
        <v>1</v>
      </c>
      <c r="J4" s="7" t="s">
        <v>2</v>
      </c>
      <c r="K4" s="7" t="s">
        <v>18</v>
      </c>
      <c r="L4" s="7" t="s">
        <v>3</v>
      </c>
      <c r="M4" s="7" t="s">
        <v>19</v>
      </c>
      <c r="N4" s="3" t="s">
        <v>4</v>
      </c>
    </row>
    <row r="5" spans="1:14">
      <c r="A5" s="3" t="s">
        <v>4</v>
      </c>
      <c r="B5" s="3">
        <f t="shared" ref="B5:M5" ca="1" si="0">SUM(B4:B5)</f>
        <v>0</v>
      </c>
      <c r="C5" s="3">
        <f t="shared" ca="1" si="0"/>
        <v>0</v>
      </c>
      <c r="D5" s="3">
        <f t="shared" ca="1" si="0"/>
        <v>0</v>
      </c>
      <c r="E5" s="3">
        <f t="shared" ca="1" si="0"/>
        <v>0</v>
      </c>
      <c r="F5" s="3">
        <f t="shared" ca="1" si="0"/>
        <v>0</v>
      </c>
      <c r="G5" s="3">
        <f t="shared" ca="1" si="0"/>
        <v>0</v>
      </c>
      <c r="H5" s="3">
        <f t="shared" ca="1" si="0"/>
        <v>0</v>
      </c>
      <c r="I5" s="3">
        <f t="shared" ca="1" si="0"/>
        <v>0</v>
      </c>
      <c r="J5" s="3">
        <f t="shared" ca="1" si="0"/>
        <v>0</v>
      </c>
      <c r="K5" s="3">
        <f t="shared" ca="1" si="0"/>
        <v>0</v>
      </c>
      <c r="L5" s="3">
        <f t="shared" ca="1" si="0"/>
        <v>0</v>
      </c>
      <c r="M5" s="3">
        <f t="shared" ca="1" si="0"/>
        <v>0</v>
      </c>
      <c r="N5" s="3">
        <f ca="1">SUM(B5:M5)</f>
        <v>0</v>
      </c>
    </row>
    <row r="6" spans="1:14">
      <c r="A6" s="2"/>
    </row>
    <row r="9" spans="1:14" ht="18">
      <c r="G9" s="5" t="s">
        <v>5</v>
      </c>
    </row>
    <row r="11" spans="1:14">
      <c r="A11" s="4" t="s">
        <v>5</v>
      </c>
      <c r="B11" s="8" t="s">
        <v>12</v>
      </c>
      <c r="C11" s="8" t="s">
        <v>13</v>
      </c>
      <c r="D11" s="8" t="s">
        <v>14</v>
      </c>
      <c r="E11" s="8" t="s">
        <v>0</v>
      </c>
      <c r="F11" s="8" t="s">
        <v>15</v>
      </c>
      <c r="G11" s="8" t="s">
        <v>16</v>
      </c>
      <c r="H11" s="8" t="s">
        <v>17</v>
      </c>
      <c r="I11" s="8" t="s">
        <v>1</v>
      </c>
      <c r="J11" s="8" t="s">
        <v>2</v>
      </c>
      <c r="K11" s="8" t="s">
        <v>18</v>
      </c>
      <c r="L11" s="8" t="s">
        <v>3</v>
      </c>
      <c r="M11" s="8" t="s">
        <v>19</v>
      </c>
      <c r="N11" s="4" t="s">
        <v>4</v>
      </c>
    </row>
    <row r="12" spans="1:14">
      <c r="A12" s="2" t="s">
        <v>48</v>
      </c>
      <c r="J12" s="1">
        <v>69</v>
      </c>
      <c r="K12" s="1">
        <v>133</v>
      </c>
      <c r="L12" s="1">
        <v>133</v>
      </c>
      <c r="N12" s="4">
        <f t="shared" ref="N12:N19" si="1">SUM(B12:M12)</f>
        <v>335</v>
      </c>
    </row>
    <row r="13" spans="1:14">
      <c r="A13" s="2" t="s">
        <v>54</v>
      </c>
      <c r="J13" s="1">
        <v>94</v>
      </c>
      <c r="K13" s="1">
        <v>135</v>
      </c>
      <c r="L13" s="1">
        <v>135</v>
      </c>
      <c r="N13" s="4">
        <f t="shared" si="1"/>
        <v>364</v>
      </c>
    </row>
    <row r="14" spans="1:14">
      <c r="A14" s="2" t="s">
        <v>57</v>
      </c>
      <c r="J14" s="1">
        <v>20</v>
      </c>
      <c r="K14" s="1">
        <v>265</v>
      </c>
      <c r="L14" s="1">
        <v>265</v>
      </c>
      <c r="N14" s="4">
        <f t="shared" si="1"/>
        <v>550</v>
      </c>
    </row>
    <row r="15" spans="1:14">
      <c r="A15" s="2" t="s">
        <v>60</v>
      </c>
      <c r="J15" s="1">
        <v>369</v>
      </c>
      <c r="K15" s="1">
        <v>524</v>
      </c>
      <c r="L15" s="1">
        <v>524</v>
      </c>
      <c r="N15" s="4">
        <f t="shared" si="1"/>
        <v>1417</v>
      </c>
    </row>
    <row r="16" spans="1:14">
      <c r="A16" s="2" t="s">
        <v>63</v>
      </c>
      <c r="J16" s="1">
        <v>35</v>
      </c>
      <c r="K16" s="1">
        <v>19</v>
      </c>
      <c r="L16" s="1">
        <v>19</v>
      </c>
      <c r="N16" s="4">
        <f t="shared" si="1"/>
        <v>73</v>
      </c>
    </row>
    <row r="17" spans="1:14">
      <c r="A17" s="2" t="s">
        <v>66</v>
      </c>
      <c r="J17" s="1">
        <v>13</v>
      </c>
      <c r="K17" s="1">
        <v>12</v>
      </c>
      <c r="L17" s="1">
        <v>12</v>
      </c>
      <c r="N17" s="4">
        <f t="shared" si="1"/>
        <v>37</v>
      </c>
    </row>
    <row r="18" spans="1:14">
      <c r="A18" s="2" t="s">
        <v>51</v>
      </c>
      <c r="K18" s="1">
        <v>81</v>
      </c>
      <c r="L18" s="1">
        <v>81</v>
      </c>
      <c r="N18" s="4">
        <f t="shared" si="1"/>
        <v>162</v>
      </c>
    </row>
    <row r="19" spans="1:14">
      <c r="A19" s="4" t="s">
        <v>4</v>
      </c>
      <c r="B19" s="4">
        <f t="shared" ref="B19:M19" si="2">SUM(B12:B18)</f>
        <v>0</v>
      </c>
      <c r="C19" s="4">
        <f t="shared" si="2"/>
        <v>0</v>
      </c>
      <c r="D19" s="4">
        <f t="shared" si="2"/>
        <v>0</v>
      </c>
      <c r="E19" s="4">
        <f t="shared" si="2"/>
        <v>0</v>
      </c>
      <c r="F19" s="4">
        <f t="shared" si="2"/>
        <v>0</v>
      </c>
      <c r="G19" s="4">
        <f t="shared" si="2"/>
        <v>0</v>
      </c>
      <c r="H19" s="4">
        <f t="shared" si="2"/>
        <v>0</v>
      </c>
      <c r="I19" s="4">
        <f t="shared" si="2"/>
        <v>0</v>
      </c>
      <c r="J19" s="4">
        <f t="shared" si="2"/>
        <v>600</v>
      </c>
      <c r="K19" s="4">
        <f t="shared" si="2"/>
        <v>1169</v>
      </c>
      <c r="L19" s="4">
        <f t="shared" si="2"/>
        <v>1169</v>
      </c>
      <c r="M19" s="4">
        <f t="shared" si="2"/>
        <v>0</v>
      </c>
      <c r="N19" s="4">
        <f t="shared" si="1"/>
        <v>2938</v>
      </c>
    </row>
    <row r="21" spans="1:14" ht="18">
      <c r="E21" s="9" t="s">
        <v>30</v>
      </c>
      <c r="G21" s="9" t="s">
        <v>37</v>
      </c>
      <c r="I21" s="9" t="s">
        <v>36</v>
      </c>
    </row>
  </sheetData>
  <sheetProtection sheet="1" objects="1" scenarios="1"/>
  <phoneticPr fontId="1" type="noConversion"/>
  <hyperlinks>
    <hyperlink ref="B4" location="January!A1" display="January"/>
    <hyperlink ref="C4" location="February!A1" display="February"/>
    <hyperlink ref="D4" location="March!A1" display="March"/>
    <hyperlink ref="E4" location="April!A1" display="April"/>
    <hyperlink ref="F4" location="May!A1" display="May"/>
    <hyperlink ref="G4" location="June!A1" display="June"/>
    <hyperlink ref="H4" location="July!A1" display="July"/>
    <hyperlink ref="I4" location="August!A1" display="August"/>
    <hyperlink ref="J4" location="September!A1" display="September"/>
    <hyperlink ref="K4" location="October!A1" display="October"/>
    <hyperlink ref="L4" location="November!A1" display="November"/>
    <hyperlink ref="M4" location="December!A1" display="December"/>
    <hyperlink ref="B11" location="January!A1" display="January"/>
    <hyperlink ref="C11" location="February!A1" display="February"/>
    <hyperlink ref="D11" location="March!A1" display="March"/>
    <hyperlink ref="E11" location="April!A1" display="April"/>
    <hyperlink ref="F11" location="May!A1" display="May"/>
    <hyperlink ref="G11" location="June!A1" display="June"/>
    <hyperlink ref="H11" location="July!A1" display="July"/>
    <hyperlink ref="I11" location="August!A1" display="August"/>
    <hyperlink ref="J11" location="September!A1" display="September"/>
    <hyperlink ref="K11" location="October!A1" display="October"/>
    <hyperlink ref="L11" location="November!A1" display="November"/>
    <hyperlink ref="M11" location="December!A1" display="December"/>
    <hyperlink ref="E21" location="Einnahmen!A1" display="Einnahmen"/>
    <hyperlink ref="G21" location="Übersicht!A1" display="Übersicht"/>
    <hyperlink ref="I21" location="Monatliche_Ausgaben!A1" display="Monatliche Ausgaben"/>
  </hyperlinks>
  <pageMargins left="0.75" right="0.75" top="1" bottom="1" header="0.4921259845" footer="0.492125984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104"/>
  <dimension ref="A2:N9"/>
  <sheetViews>
    <sheetView workbookViewId="0"/>
  </sheetViews>
  <sheetFormatPr defaultColWidth="11.42578125" defaultRowHeight="12.75"/>
  <cols>
    <col min="1" max="16384" width="11.42578125" style="1"/>
  </cols>
  <sheetData>
    <row r="2" spans="1:14" ht="18">
      <c r="G2" s="5" t="s">
        <v>30</v>
      </c>
    </row>
    <row r="4" spans="1:14">
      <c r="A4" s="3" t="s">
        <v>30</v>
      </c>
      <c r="B4" s="7" t="s">
        <v>12</v>
      </c>
      <c r="C4" s="7" t="s">
        <v>13</v>
      </c>
      <c r="D4" s="7" t="s">
        <v>14</v>
      </c>
      <c r="E4" s="7" t="s">
        <v>0</v>
      </c>
      <c r="F4" s="7" t="s">
        <v>15</v>
      </c>
      <c r="G4" s="7" t="s">
        <v>16</v>
      </c>
      <c r="H4" s="7" t="s">
        <v>17</v>
      </c>
      <c r="I4" s="7" t="s">
        <v>1</v>
      </c>
      <c r="J4" s="7" t="s">
        <v>2</v>
      </c>
      <c r="K4" s="7" t="s">
        <v>18</v>
      </c>
      <c r="L4" s="7" t="s">
        <v>3</v>
      </c>
      <c r="M4" s="7" t="s">
        <v>19</v>
      </c>
      <c r="N4" s="3" t="s">
        <v>4</v>
      </c>
    </row>
    <row r="5" spans="1:14">
      <c r="A5" s="2"/>
      <c r="N5" s="3">
        <f>SUM(B5:M5)</f>
        <v>0</v>
      </c>
    </row>
    <row r="6" spans="1:14">
      <c r="A6" s="2"/>
      <c r="N6" s="3">
        <f>SUM(B6:M6)</f>
        <v>0</v>
      </c>
    </row>
    <row r="7" spans="1:14">
      <c r="A7" s="3" t="s">
        <v>4</v>
      </c>
      <c r="B7" s="3">
        <f t="shared" ref="B7:M7" si="0">SUM(B5:B6)</f>
        <v>0</v>
      </c>
      <c r="C7" s="3">
        <f t="shared" si="0"/>
        <v>0</v>
      </c>
      <c r="D7" s="3">
        <f t="shared" si="0"/>
        <v>0</v>
      </c>
      <c r="E7" s="3">
        <f t="shared" si="0"/>
        <v>0</v>
      </c>
      <c r="F7" s="3">
        <f t="shared" si="0"/>
        <v>0</v>
      </c>
      <c r="G7" s="3">
        <f t="shared" si="0"/>
        <v>0</v>
      </c>
      <c r="H7" s="3">
        <f t="shared" si="0"/>
        <v>0</v>
      </c>
      <c r="I7" s="3">
        <f t="shared" si="0"/>
        <v>0</v>
      </c>
      <c r="J7" s="3">
        <f t="shared" si="0"/>
        <v>0</v>
      </c>
      <c r="K7" s="3">
        <f t="shared" si="0"/>
        <v>0</v>
      </c>
      <c r="L7" s="3">
        <f t="shared" si="0"/>
        <v>0</v>
      </c>
      <c r="M7" s="3">
        <f t="shared" si="0"/>
        <v>0</v>
      </c>
      <c r="N7" s="3">
        <f>SUM(B7:M7)</f>
        <v>0</v>
      </c>
    </row>
    <row r="9" spans="1:14">
      <c r="E9" s="6" t="s">
        <v>30</v>
      </c>
      <c r="G9" s="6" t="s">
        <v>37</v>
      </c>
      <c r="I9" s="6" t="s">
        <v>36</v>
      </c>
    </row>
  </sheetData>
  <phoneticPr fontId="1" type="noConversion"/>
  <hyperlinks>
    <hyperlink ref="B4" location="January!A1" display="January"/>
    <hyperlink ref="C4" location="February!A1" display="February"/>
    <hyperlink ref="D4" location="March!A1" display="March"/>
    <hyperlink ref="E4" location="April!A1" display="April"/>
    <hyperlink ref="F4" location="May!A1" display="May"/>
    <hyperlink ref="G4" location="June!A1" display="June"/>
    <hyperlink ref="H4" location="July!A1" display="July"/>
    <hyperlink ref="I4" location="August!A1" display="August"/>
    <hyperlink ref="J4" location="September!A1" display="September"/>
    <hyperlink ref="K4" location="October!A1" display="October"/>
    <hyperlink ref="L4" location="November!A1" display="November"/>
    <hyperlink ref="M4" location="December!A1" display="December"/>
    <hyperlink ref="E9" location="Einnahmen!A1" display="Einnahmen"/>
    <hyperlink ref="G9" location="Übersicht!A1" display="Übersicht"/>
    <hyperlink ref="I9" location="Monatliche_Ausgaben!A1" display="Monatliche Ausgaben"/>
  </hyperlinks>
  <pageMargins left="0.75" right="0.75" top="1" bottom="1" header="0.4921259845" footer="0.492125984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105"/>
  <dimension ref="A2:N9"/>
  <sheetViews>
    <sheetView workbookViewId="0"/>
  </sheetViews>
  <sheetFormatPr defaultColWidth="11.42578125" defaultRowHeight="12.75"/>
  <cols>
    <col min="1" max="16384" width="11.42578125" style="1"/>
  </cols>
  <sheetData>
    <row r="2" spans="1:14" ht="18">
      <c r="G2" s="5" t="s">
        <v>36</v>
      </c>
    </row>
    <row r="4" spans="1:14">
      <c r="A4" s="4" t="s">
        <v>5</v>
      </c>
      <c r="B4" s="8" t="s">
        <v>12</v>
      </c>
      <c r="C4" s="8" t="s">
        <v>13</v>
      </c>
      <c r="D4" s="8" t="s">
        <v>14</v>
      </c>
      <c r="E4" s="8" t="s">
        <v>0</v>
      </c>
      <c r="F4" s="8" t="s">
        <v>15</v>
      </c>
      <c r="G4" s="8" t="s">
        <v>16</v>
      </c>
      <c r="H4" s="8" t="s">
        <v>17</v>
      </c>
      <c r="I4" s="8" t="s">
        <v>1</v>
      </c>
      <c r="J4" s="8" t="s">
        <v>2</v>
      </c>
      <c r="K4" s="8" t="s">
        <v>18</v>
      </c>
      <c r="L4" s="8" t="s">
        <v>3</v>
      </c>
      <c r="M4" s="8" t="s">
        <v>19</v>
      </c>
      <c r="N4" s="4" t="s">
        <v>4</v>
      </c>
    </row>
    <row r="5" spans="1:14">
      <c r="A5" s="2"/>
      <c r="N5" s="4">
        <f>SUM(B5:M5)</f>
        <v>0</v>
      </c>
    </row>
    <row r="6" spans="1:14">
      <c r="A6" s="2"/>
      <c r="N6" s="4">
        <f>SUM(B6:M6)</f>
        <v>0</v>
      </c>
    </row>
    <row r="7" spans="1:14">
      <c r="A7" s="4" t="s">
        <v>4</v>
      </c>
      <c r="B7" s="4">
        <f t="shared" ref="B7:M7" si="0">SUM(B5:B6)</f>
        <v>0</v>
      </c>
      <c r="C7" s="4">
        <f t="shared" si="0"/>
        <v>0</v>
      </c>
      <c r="D7" s="4">
        <f t="shared" si="0"/>
        <v>0</v>
      </c>
      <c r="E7" s="4">
        <f t="shared" si="0"/>
        <v>0</v>
      </c>
      <c r="F7" s="4">
        <f t="shared" si="0"/>
        <v>0</v>
      </c>
      <c r="G7" s="4">
        <f t="shared" si="0"/>
        <v>0</v>
      </c>
      <c r="H7" s="4">
        <f t="shared" si="0"/>
        <v>0</v>
      </c>
      <c r="I7" s="4">
        <f t="shared" si="0"/>
        <v>0</v>
      </c>
      <c r="J7" s="4">
        <f t="shared" si="0"/>
        <v>0</v>
      </c>
      <c r="K7" s="4">
        <f t="shared" si="0"/>
        <v>0</v>
      </c>
      <c r="L7" s="4">
        <f t="shared" si="0"/>
        <v>0</v>
      </c>
      <c r="M7" s="4">
        <f t="shared" si="0"/>
        <v>0</v>
      </c>
      <c r="N7" s="4">
        <f>SUM(B7:M7)</f>
        <v>0</v>
      </c>
    </row>
    <row r="9" spans="1:14">
      <c r="E9" s="6" t="s">
        <v>30</v>
      </c>
      <c r="G9" s="6" t="s">
        <v>37</v>
      </c>
      <c r="I9" s="6" t="s">
        <v>36</v>
      </c>
    </row>
  </sheetData>
  <phoneticPr fontId="1" type="noConversion"/>
  <hyperlinks>
    <hyperlink ref="B4" location="January!A1" display="January"/>
    <hyperlink ref="C4" location="February!A1" display="February"/>
    <hyperlink ref="D4" location="March!A1" display="March"/>
    <hyperlink ref="E4" location="April!A1" display="April"/>
    <hyperlink ref="F4" location="May!A1" display="May"/>
    <hyperlink ref="G4" location="June!A1" display="June"/>
    <hyperlink ref="H4" location="July!A1" display="July"/>
    <hyperlink ref="I4" location="August!A1" display="August"/>
    <hyperlink ref="J4" location="September!A1" display="September"/>
    <hyperlink ref="K4" location="October!A1" display="October"/>
    <hyperlink ref="L4" location="November!A1" display="November"/>
    <hyperlink ref="M4" location="December!A1" display="December"/>
    <hyperlink ref="E9" location="Einnahmen!A1" display="Einnahmen"/>
    <hyperlink ref="G9" location="Übersicht!A1" display="Übersicht"/>
    <hyperlink ref="I9" location="Monatliche_Ausgaben!A1" display="Monatliche Ausgaben"/>
  </hyperlinks>
  <pageMargins left="0.75" right="0.75" top="1" bottom="1" header="0.4921259845" footer="0.492125984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106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Tabelle107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Tabelle108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Tabelle109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Tabelle110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>
  <sheetPr codeName="Tabelle111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>
  <sheetPr codeName="Tabelle112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>
  <sheetPr codeName="Tabelle113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>
  <sheetPr codeName="Tabelle114"/>
  <dimension ref="A2:L38"/>
  <sheetViews>
    <sheetView workbookViewId="0"/>
  </sheetViews>
  <sheetFormatPr defaultColWidth="11.42578125" defaultRowHeight="12.75"/>
  <sheetData>
    <row r="2" spans="1:12" ht="18">
      <c r="F2" s="12" t="s">
        <v>2</v>
      </c>
    </row>
    <row r="4" spans="1:12">
      <c r="A4" s="11" t="s">
        <v>5</v>
      </c>
      <c r="B4" s="11" t="s">
        <v>44</v>
      </c>
      <c r="C4" s="11" t="s">
        <v>48</v>
      </c>
      <c r="D4" s="11" t="s">
        <v>51</v>
      </c>
      <c r="E4" s="11" t="s">
        <v>54</v>
      </c>
      <c r="F4" s="11" t="s">
        <v>57</v>
      </c>
      <c r="G4" s="11" t="s">
        <v>60</v>
      </c>
      <c r="H4" s="11" t="s">
        <v>63</v>
      </c>
      <c r="I4" s="11" t="s">
        <v>66</v>
      </c>
      <c r="J4" s="11" t="s">
        <v>69</v>
      </c>
      <c r="K4" s="11" t="s">
        <v>71</v>
      </c>
      <c r="L4" s="4" t="s">
        <v>4</v>
      </c>
    </row>
    <row r="5" spans="1:12">
      <c r="A5" s="11">
        <v>1</v>
      </c>
      <c r="G5">
        <v>47</v>
      </c>
      <c r="L5" s="4">
        <f t="shared" ref="L5:L35" si="0">SUM(B5:K5)</f>
        <v>47</v>
      </c>
    </row>
    <row r="6" spans="1:12">
      <c r="A6" s="11">
        <v>2</v>
      </c>
      <c r="L6" s="4">
        <f t="shared" si="0"/>
        <v>0</v>
      </c>
    </row>
    <row r="7" spans="1:12">
      <c r="A7" s="11">
        <v>3</v>
      </c>
      <c r="E7">
        <v>5</v>
      </c>
      <c r="L7" s="4">
        <f t="shared" si="0"/>
        <v>5</v>
      </c>
    </row>
    <row r="8" spans="1:12">
      <c r="A8" s="11">
        <v>4</v>
      </c>
      <c r="C8">
        <f>33</f>
        <v>33</v>
      </c>
      <c r="G8">
        <f>49</f>
        <v>49</v>
      </c>
      <c r="L8" s="4">
        <f t="shared" si="0"/>
        <v>82</v>
      </c>
    </row>
    <row r="9" spans="1:12">
      <c r="A9" s="11">
        <v>5</v>
      </c>
      <c r="G9">
        <v>9</v>
      </c>
      <c r="L9" s="4">
        <f t="shared" si="0"/>
        <v>9</v>
      </c>
    </row>
    <row r="10" spans="1:12">
      <c r="A10" s="11">
        <v>6</v>
      </c>
      <c r="E10">
        <v>5</v>
      </c>
      <c r="L10" s="4">
        <f t="shared" si="0"/>
        <v>5</v>
      </c>
    </row>
    <row r="11" spans="1:12">
      <c r="A11" s="11">
        <v>7</v>
      </c>
      <c r="L11" s="4">
        <f t="shared" si="0"/>
        <v>0</v>
      </c>
    </row>
    <row r="12" spans="1:12">
      <c r="A12" s="11">
        <v>8</v>
      </c>
      <c r="H12">
        <v>9</v>
      </c>
      <c r="L12" s="4">
        <f t="shared" si="0"/>
        <v>9</v>
      </c>
    </row>
    <row r="13" spans="1:12">
      <c r="A13" s="11">
        <v>9</v>
      </c>
      <c r="L13" s="4">
        <f t="shared" si="0"/>
        <v>0</v>
      </c>
    </row>
    <row r="14" spans="1:12">
      <c r="A14" s="11">
        <v>10</v>
      </c>
      <c r="L14" s="4">
        <f t="shared" si="0"/>
        <v>0</v>
      </c>
    </row>
    <row r="15" spans="1:12">
      <c r="A15" s="11">
        <v>11</v>
      </c>
      <c r="G15">
        <v>100</v>
      </c>
      <c r="L15" s="4">
        <f t="shared" si="0"/>
        <v>100</v>
      </c>
    </row>
    <row r="16" spans="1:12">
      <c r="A16" s="11">
        <v>12</v>
      </c>
      <c r="L16" s="4">
        <f t="shared" si="0"/>
        <v>0</v>
      </c>
    </row>
    <row r="17" spans="1:12">
      <c r="A17" s="11">
        <v>13</v>
      </c>
      <c r="C17">
        <v>12</v>
      </c>
      <c r="F17">
        <v>20</v>
      </c>
      <c r="L17" s="4">
        <f t="shared" si="0"/>
        <v>32</v>
      </c>
    </row>
    <row r="18" spans="1:12">
      <c r="A18" s="11">
        <v>14</v>
      </c>
      <c r="E18">
        <v>20</v>
      </c>
      <c r="L18" s="4">
        <f t="shared" si="0"/>
        <v>20</v>
      </c>
    </row>
    <row r="19" spans="1:12">
      <c r="A19" s="11">
        <v>15</v>
      </c>
      <c r="L19" s="4">
        <f t="shared" si="0"/>
        <v>0</v>
      </c>
    </row>
    <row r="20" spans="1:12">
      <c r="A20" s="11">
        <v>16</v>
      </c>
      <c r="E20">
        <v>10</v>
      </c>
      <c r="I20">
        <v>13</v>
      </c>
      <c r="L20" s="4">
        <f t="shared" si="0"/>
        <v>23</v>
      </c>
    </row>
    <row r="21" spans="1:12">
      <c r="A21" s="11">
        <v>17</v>
      </c>
      <c r="C21">
        <f>24</f>
        <v>24</v>
      </c>
      <c r="G21">
        <v>9</v>
      </c>
      <c r="L21" s="4">
        <f t="shared" si="0"/>
        <v>33</v>
      </c>
    </row>
    <row r="22" spans="1:12">
      <c r="A22" s="11">
        <v>18</v>
      </c>
      <c r="G22">
        <v>25</v>
      </c>
      <c r="L22" s="4">
        <f t="shared" si="0"/>
        <v>25</v>
      </c>
    </row>
    <row r="23" spans="1:12">
      <c r="A23" s="11">
        <v>19</v>
      </c>
      <c r="L23" s="4">
        <f t="shared" si="0"/>
        <v>0</v>
      </c>
    </row>
    <row r="24" spans="1:12">
      <c r="A24" s="11">
        <v>20</v>
      </c>
      <c r="H24">
        <v>26</v>
      </c>
      <c r="L24" s="4">
        <f t="shared" si="0"/>
        <v>26</v>
      </c>
    </row>
    <row r="25" spans="1:12">
      <c r="A25" s="11">
        <v>21</v>
      </c>
      <c r="E25">
        <v>10</v>
      </c>
      <c r="L25" s="4">
        <f t="shared" si="0"/>
        <v>10</v>
      </c>
    </row>
    <row r="26" spans="1:12">
      <c r="A26" s="11">
        <v>22</v>
      </c>
      <c r="E26">
        <v>4</v>
      </c>
      <c r="G26">
        <f>30</f>
        <v>30</v>
      </c>
      <c r="L26" s="4">
        <f t="shared" si="0"/>
        <v>34</v>
      </c>
    </row>
    <row r="27" spans="1:12">
      <c r="A27" s="11">
        <v>23</v>
      </c>
      <c r="L27" s="4">
        <f t="shared" si="0"/>
        <v>0</v>
      </c>
    </row>
    <row r="28" spans="1:12">
      <c r="A28" s="11">
        <v>24</v>
      </c>
      <c r="E28">
        <v>20</v>
      </c>
      <c r="G28">
        <v>100</v>
      </c>
      <c r="L28" s="4">
        <f t="shared" si="0"/>
        <v>120</v>
      </c>
    </row>
    <row r="29" spans="1:12">
      <c r="A29" s="11">
        <v>25</v>
      </c>
      <c r="L29" s="4">
        <f t="shared" si="0"/>
        <v>0</v>
      </c>
    </row>
    <row r="30" spans="1:12">
      <c r="A30" s="11">
        <v>26</v>
      </c>
      <c r="L30" s="4">
        <f t="shared" si="0"/>
        <v>0</v>
      </c>
    </row>
    <row r="31" spans="1:12">
      <c r="A31" s="11">
        <v>27</v>
      </c>
      <c r="L31" s="4">
        <f t="shared" si="0"/>
        <v>0</v>
      </c>
    </row>
    <row r="32" spans="1:12">
      <c r="A32" s="11">
        <v>28</v>
      </c>
      <c r="L32" s="4">
        <f t="shared" si="0"/>
        <v>0</v>
      </c>
    </row>
    <row r="33" spans="1:12">
      <c r="A33" s="11">
        <v>29</v>
      </c>
      <c r="L33" s="4">
        <f t="shared" si="0"/>
        <v>0</v>
      </c>
    </row>
    <row r="34" spans="1:12">
      <c r="A34" s="11">
        <v>30</v>
      </c>
      <c r="E34">
        <v>20</v>
      </c>
      <c r="L34" s="4">
        <f t="shared" si="0"/>
        <v>20</v>
      </c>
    </row>
    <row r="35" spans="1:12">
      <c r="A35" s="11">
        <v>31</v>
      </c>
      <c r="L35" s="4">
        <f t="shared" si="0"/>
        <v>0</v>
      </c>
    </row>
    <row r="36" spans="1:12">
      <c r="A36" s="4" t="s">
        <v>4</v>
      </c>
      <c r="B36" s="4">
        <f t="shared" ref="B36:L36" si="1">SUM(B5:B35)</f>
        <v>0</v>
      </c>
      <c r="C36" s="4">
        <f t="shared" si="1"/>
        <v>69</v>
      </c>
      <c r="D36" s="4">
        <f t="shared" si="1"/>
        <v>0</v>
      </c>
      <c r="E36" s="4">
        <f t="shared" si="1"/>
        <v>94</v>
      </c>
      <c r="F36" s="4">
        <f t="shared" si="1"/>
        <v>20</v>
      </c>
      <c r="G36" s="4">
        <f t="shared" si="1"/>
        <v>369</v>
      </c>
      <c r="H36" s="4">
        <f t="shared" si="1"/>
        <v>35</v>
      </c>
      <c r="I36" s="4">
        <f t="shared" si="1"/>
        <v>13</v>
      </c>
      <c r="J36" s="4">
        <f t="shared" si="1"/>
        <v>0</v>
      </c>
      <c r="K36" s="4">
        <f t="shared" si="1"/>
        <v>0</v>
      </c>
      <c r="L36" s="4">
        <f t="shared" si="1"/>
        <v>600</v>
      </c>
    </row>
    <row r="38" spans="1:12" ht="18">
      <c r="D38" s="13" t="s">
        <v>30</v>
      </c>
      <c r="F38" s="13" t="s">
        <v>37</v>
      </c>
      <c r="H38" s="13" t="s">
        <v>36</v>
      </c>
    </row>
  </sheetData>
  <phoneticPr fontId="1" type="noConversion"/>
  <hyperlinks>
    <hyperlink ref="D38" location="Einnahmen!A1" display="Einnahmen"/>
    <hyperlink ref="F38" location="Übersicht!A1" display="Übersicht"/>
    <hyperlink ref="H38" location="Monatliche_Ausgaben!A1" display="Monatliche Ausgaben"/>
  </hyperlinks>
  <pageMargins left="0.75" right="0.75" top="1" bottom="1" header="0.4921259845" footer="0.4921259845"/>
  <headerFooter alignWithMargins="0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Tabelle115"/>
  <dimension ref="A2:I38"/>
  <sheetViews>
    <sheetView workbookViewId="0">
      <selection activeCell="E38" sqref="E38"/>
    </sheetView>
  </sheetViews>
  <sheetFormatPr defaultColWidth="11.42578125" defaultRowHeight="12.75"/>
  <sheetData>
    <row r="2" spans="1:9" ht="18">
      <c r="D2" s="12" t="s">
        <v>18</v>
      </c>
    </row>
    <row r="4" spans="1:9">
      <c r="A4" s="4" t="s">
        <v>5</v>
      </c>
      <c r="B4" s="4" t="s">
        <v>48</v>
      </c>
      <c r="C4" s="4" t="s">
        <v>57</v>
      </c>
      <c r="D4" s="4" t="s">
        <v>60</v>
      </c>
      <c r="E4" s="4" t="s">
        <v>63</v>
      </c>
      <c r="F4" s="4" t="s">
        <v>54</v>
      </c>
      <c r="G4" s="4" t="s">
        <v>51</v>
      </c>
      <c r="H4" s="4" t="s">
        <v>66</v>
      </c>
      <c r="I4" s="4" t="s">
        <v>4</v>
      </c>
    </row>
    <row r="5" spans="1:9">
      <c r="A5" s="4">
        <v>1</v>
      </c>
      <c r="I5" s="4">
        <f t="shared" ref="I5:I35" si="0">SUM(B5:H5)</f>
        <v>0</v>
      </c>
    </row>
    <row r="6" spans="1:9">
      <c r="A6" s="4">
        <v>2</v>
      </c>
      <c r="B6">
        <f>38</f>
        <v>38</v>
      </c>
      <c r="C6">
        <v>3</v>
      </c>
      <c r="D6">
        <v>10</v>
      </c>
      <c r="I6" s="4">
        <f t="shared" si="0"/>
        <v>51</v>
      </c>
    </row>
    <row r="7" spans="1:9">
      <c r="A7" s="4">
        <v>3</v>
      </c>
      <c r="I7" s="4">
        <f t="shared" si="0"/>
        <v>0</v>
      </c>
    </row>
    <row r="8" spans="1:9">
      <c r="A8" s="4">
        <v>4</v>
      </c>
      <c r="C8">
        <v>175</v>
      </c>
      <c r="I8" s="4">
        <f t="shared" si="0"/>
        <v>175</v>
      </c>
    </row>
    <row r="9" spans="1:9">
      <c r="A9" s="4">
        <v>5</v>
      </c>
      <c r="E9">
        <f>19</f>
        <v>19</v>
      </c>
      <c r="I9" s="4">
        <f t="shared" si="0"/>
        <v>19</v>
      </c>
    </row>
    <row r="10" spans="1:9">
      <c r="A10" s="4">
        <v>6</v>
      </c>
      <c r="D10">
        <v>5</v>
      </c>
      <c r="I10" s="4">
        <f t="shared" si="0"/>
        <v>5</v>
      </c>
    </row>
    <row r="11" spans="1:9">
      <c r="A11" s="4">
        <v>7</v>
      </c>
      <c r="F11">
        <v>10</v>
      </c>
      <c r="I11" s="4">
        <f t="shared" si="0"/>
        <v>10</v>
      </c>
    </row>
    <row r="12" spans="1:9">
      <c r="A12" s="4">
        <v>8</v>
      </c>
      <c r="F12">
        <v>20</v>
      </c>
      <c r="I12" s="4">
        <f t="shared" si="0"/>
        <v>20</v>
      </c>
    </row>
    <row r="13" spans="1:9">
      <c r="A13" s="4">
        <v>9</v>
      </c>
      <c r="B13">
        <v>15</v>
      </c>
      <c r="D13">
        <v>10</v>
      </c>
      <c r="G13">
        <v>51</v>
      </c>
      <c r="I13" s="4">
        <f t="shared" si="0"/>
        <v>76</v>
      </c>
    </row>
    <row r="14" spans="1:9">
      <c r="A14" s="4">
        <v>10</v>
      </c>
      <c r="I14" s="4">
        <f t="shared" si="0"/>
        <v>0</v>
      </c>
    </row>
    <row r="15" spans="1:9">
      <c r="A15" s="4">
        <v>11</v>
      </c>
      <c r="I15" s="4">
        <f t="shared" si="0"/>
        <v>0</v>
      </c>
    </row>
    <row r="16" spans="1:9">
      <c r="A16" s="4">
        <v>12</v>
      </c>
      <c r="F16">
        <v>20</v>
      </c>
      <c r="I16" s="4">
        <f t="shared" si="0"/>
        <v>20</v>
      </c>
    </row>
    <row r="17" spans="1:9">
      <c r="A17" s="4">
        <v>13</v>
      </c>
      <c r="I17" s="4">
        <f t="shared" si="0"/>
        <v>0</v>
      </c>
    </row>
    <row r="18" spans="1:9">
      <c r="A18" s="4">
        <v>14</v>
      </c>
      <c r="F18">
        <v>10</v>
      </c>
      <c r="I18" s="4">
        <f t="shared" si="0"/>
        <v>10</v>
      </c>
    </row>
    <row r="19" spans="1:9">
      <c r="A19" s="4">
        <v>15</v>
      </c>
      <c r="I19" s="4">
        <f t="shared" si="0"/>
        <v>0</v>
      </c>
    </row>
    <row r="20" spans="1:9">
      <c r="A20" s="4">
        <v>16</v>
      </c>
      <c r="B20">
        <v>15</v>
      </c>
      <c r="I20" s="4">
        <f t="shared" si="0"/>
        <v>15</v>
      </c>
    </row>
    <row r="21" spans="1:9">
      <c r="A21" s="4">
        <v>17</v>
      </c>
      <c r="D21">
        <v>5</v>
      </c>
      <c r="G21">
        <v>30</v>
      </c>
      <c r="I21" s="4">
        <f t="shared" si="0"/>
        <v>35</v>
      </c>
    </row>
    <row r="22" spans="1:9">
      <c r="A22" s="4">
        <v>18</v>
      </c>
      <c r="F22">
        <v>5</v>
      </c>
      <c r="I22" s="4">
        <f t="shared" si="0"/>
        <v>5</v>
      </c>
    </row>
    <row r="23" spans="1:9">
      <c r="A23" s="4">
        <v>19</v>
      </c>
      <c r="D23">
        <v>10</v>
      </c>
      <c r="H23">
        <v>12</v>
      </c>
      <c r="I23" s="4">
        <f t="shared" si="0"/>
        <v>22</v>
      </c>
    </row>
    <row r="24" spans="1:9">
      <c r="A24" s="4">
        <v>20</v>
      </c>
      <c r="I24" s="4">
        <f t="shared" si="0"/>
        <v>0</v>
      </c>
    </row>
    <row r="25" spans="1:9">
      <c r="A25" s="4">
        <v>21</v>
      </c>
      <c r="I25" s="4">
        <f t="shared" si="0"/>
        <v>0</v>
      </c>
    </row>
    <row r="26" spans="1:9">
      <c r="A26" s="4">
        <v>22</v>
      </c>
      <c r="D26">
        <v>133</v>
      </c>
      <c r="I26" s="4">
        <f t="shared" si="0"/>
        <v>133</v>
      </c>
    </row>
    <row r="27" spans="1:9">
      <c r="A27" s="4">
        <v>23</v>
      </c>
      <c r="D27">
        <v>300</v>
      </c>
      <c r="I27" s="4">
        <f t="shared" si="0"/>
        <v>300</v>
      </c>
    </row>
    <row r="28" spans="1:9">
      <c r="A28" s="4">
        <v>24</v>
      </c>
      <c r="I28" s="4">
        <f t="shared" si="0"/>
        <v>0</v>
      </c>
    </row>
    <row r="29" spans="1:9">
      <c r="A29" s="4">
        <v>25</v>
      </c>
      <c r="F29">
        <v>10</v>
      </c>
      <c r="I29" s="4">
        <f t="shared" si="0"/>
        <v>10</v>
      </c>
    </row>
    <row r="30" spans="1:9">
      <c r="A30" s="4">
        <v>26</v>
      </c>
      <c r="F30">
        <v>10</v>
      </c>
      <c r="I30" s="4">
        <f t="shared" si="0"/>
        <v>10</v>
      </c>
    </row>
    <row r="31" spans="1:9">
      <c r="A31" s="4">
        <v>27</v>
      </c>
      <c r="B31">
        <v>27</v>
      </c>
      <c r="C31">
        <v>87</v>
      </c>
      <c r="I31" s="4">
        <f t="shared" si="0"/>
        <v>114</v>
      </c>
    </row>
    <row r="32" spans="1:9">
      <c r="A32" s="4">
        <v>28</v>
      </c>
      <c r="F32">
        <v>50</v>
      </c>
      <c r="I32" s="4">
        <f t="shared" si="0"/>
        <v>50</v>
      </c>
    </row>
    <row r="33" spans="1:9">
      <c r="A33" s="4">
        <v>29</v>
      </c>
      <c r="D33">
        <v>5</v>
      </c>
      <c r="I33" s="4">
        <f t="shared" si="0"/>
        <v>5</v>
      </c>
    </row>
    <row r="34" spans="1:9">
      <c r="A34" s="4">
        <v>30</v>
      </c>
      <c r="B34">
        <f>38</f>
        <v>38</v>
      </c>
      <c r="D34">
        <f>46</f>
        <v>46</v>
      </c>
      <c r="I34" s="4">
        <f t="shared" si="0"/>
        <v>84</v>
      </c>
    </row>
    <row r="35" spans="1:9">
      <c r="A35" s="4">
        <v>31</v>
      </c>
      <c r="I35" s="4">
        <f t="shared" si="0"/>
        <v>0</v>
      </c>
    </row>
    <row r="36" spans="1:9">
      <c r="A36" s="4" t="s">
        <v>4</v>
      </c>
      <c r="B36" s="4">
        <f t="shared" ref="B36:I36" si="1">SUM(B5:B35)</f>
        <v>133</v>
      </c>
      <c r="C36" s="4">
        <f t="shared" si="1"/>
        <v>265</v>
      </c>
      <c r="D36" s="4">
        <f t="shared" si="1"/>
        <v>524</v>
      </c>
      <c r="E36" s="4">
        <f t="shared" si="1"/>
        <v>19</v>
      </c>
      <c r="F36" s="4">
        <f t="shared" si="1"/>
        <v>135</v>
      </c>
      <c r="G36" s="4">
        <f t="shared" si="1"/>
        <v>81</v>
      </c>
      <c r="H36" s="4">
        <f t="shared" si="1"/>
        <v>12</v>
      </c>
      <c r="I36" s="4">
        <f t="shared" si="1"/>
        <v>1169</v>
      </c>
    </row>
    <row r="38" spans="1:9" ht="18">
      <c r="C38" s="13" t="s">
        <v>30</v>
      </c>
      <c r="E38" s="13" t="s">
        <v>37</v>
      </c>
      <c r="G38" s="13" t="s">
        <v>36</v>
      </c>
    </row>
  </sheetData>
  <sheetProtection sheet="1" objects="1" scenarios="1"/>
  <phoneticPr fontId="1" type="noConversion"/>
  <hyperlinks>
    <hyperlink ref="C38" location="Einnahmen!A1" display="Einnahmen"/>
    <hyperlink ref="E38" location="Übersicht!A1" display="Übersicht"/>
    <hyperlink ref="G38" location="Monatliche_Ausgaben!A1" display="Monatliche Ausgaben"/>
  </hyperlinks>
  <pageMargins left="0.75" right="0.75" top="1" bottom="1" header="0.4921259845" footer="0.4921259845"/>
  <headerFooter alignWithMargins="0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Tabelle116"/>
  <dimension ref="A2:L38"/>
  <sheetViews>
    <sheetView workbookViewId="0">
      <selection activeCell="C40" sqref="C40"/>
    </sheetView>
  </sheetViews>
  <sheetFormatPr defaultColWidth="11.42578125" defaultRowHeight="12.75"/>
  <sheetData>
    <row r="2" spans="1:12" ht="18">
      <c r="F2" s="12" t="s">
        <v>18</v>
      </c>
    </row>
    <row r="4" spans="1:12">
      <c r="A4" s="11" t="s">
        <v>5</v>
      </c>
      <c r="B4" s="11" t="s">
        <v>44</v>
      </c>
      <c r="C4" s="11" t="s">
        <v>48</v>
      </c>
      <c r="D4" s="11" t="s">
        <v>51</v>
      </c>
      <c r="E4" s="11" t="s">
        <v>54</v>
      </c>
      <c r="F4" s="11" t="s">
        <v>57</v>
      </c>
      <c r="G4" s="11" t="s">
        <v>60</v>
      </c>
      <c r="H4" s="11" t="s">
        <v>63</v>
      </c>
      <c r="I4" s="11" t="s">
        <v>66</v>
      </c>
      <c r="J4" s="11" t="s">
        <v>69</v>
      </c>
      <c r="K4" s="11" t="s">
        <v>71</v>
      </c>
      <c r="L4" s="4" t="s">
        <v>4</v>
      </c>
    </row>
    <row r="5" spans="1:12">
      <c r="A5" s="11">
        <v>1</v>
      </c>
      <c r="L5" s="4">
        <f t="shared" ref="L5:L35" si="0">SUM(B5:K5)</f>
        <v>0</v>
      </c>
    </row>
    <row r="6" spans="1:12">
      <c r="A6" s="11">
        <v>2</v>
      </c>
      <c r="C6">
        <f>38</f>
        <v>38</v>
      </c>
      <c r="F6">
        <v>3</v>
      </c>
      <c r="G6">
        <v>10</v>
      </c>
      <c r="L6" s="4">
        <f t="shared" si="0"/>
        <v>51</v>
      </c>
    </row>
    <row r="7" spans="1:12">
      <c r="A7" s="11">
        <v>3</v>
      </c>
      <c r="L7" s="4">
        <f t="shared" si="0"/>
        <v>0</v>
      </c>
    </row>
    <row r="8" spans="1:12">
      <c r="A8" s="11">
        <v>4</v>
      </c>
      <c r="F8">
        <v>175</v>
      </c>
      <c r="L8" s="4">
        <f t="shared" si="0"/>
        <v>175</v>
      </c>
    </row>
    <row r="9" spans="1:12">
      <c r="A9" s="11">
        <v>5</v>
      </c>
      <c r="H9">
        <f>19</f>
        <v>19</v>
      </c>
      <c r="L9" s="4">
        <f t="shared" si="0"/>
        <v>19</v>
      </c>
    </row>
    <row r="10" spans="1:12">
      <c r="A10" s="11">
        <v>6</v>
      </c>
      <c r="G10">
        <v>5</v>
      </c>
      <c r="L10" s="4">
        <f t="shared" si="0"/>
        <v>5</v>
      </c>
    </row>
    <row r="11" spans="1:12">
      <c r="A11" s="11">
        <v>7</v>
      </c>
      <c r="E11">
        <v>10</v>
      </c>
      <c r="L11" s="4">
        <f t="shared" si="0"/>
        <v>10</v>
      </c>
    </row>
    <row r="12" spans="1:12">
      <c r="A12" s="11">
        <v>8</v>
      </c>
      <c r="E12">
        <v>20</v>
      </c>
      <c r="L12" s="4">
        <f t="shared" si="0"/>
        <v>20</v>
      </c>
    </row>
    <row r="13" spans="1:12">
      <c r="A13" s="11">
        <v>9</v>
      </c>
      <c r="C13">
        <v>15</v>
      </c>
      <c r="D13">
        <v>51</v>
      </c>
      <c r="G13">
        <v>10</v>
      </c>
      <c r="L13" s="4">
        <f t="shared" si="0"/>
        <v>76</v>
      </c>
    </row>
    <row r="14" spans="1:12">
      <c r="A14" s="11">
        <v>10</v>
      </c>
      <c r="L14" s="4">
        <f t="shared" si="0"/>
        <v>0</v>
      </c>
    </row>
    <row r="15" spans="1:12">
      <c r="A15" s="11">
        <v>11</v>
      </c>
      <c r="L15" s="4">
        <f t="shared" si="0"/>
        <v>0</v>
      </c>
    </row>
    <row r="16" spans="1:12">
      <c r="A16" s="11">
        <v>12</v>
      </c>
      <c r="E16">
        <v>20</v>
      </c>
      <c r="L16" s="4">
        <f t="shared" si="0"/>
        <v>20</v>
      </c>
    </row>
    <row r="17" spans="1:12">
      <c r="A17" s="11">
        <v>13</v>
      </c>
      <c r="L17" s="4">
        <f t="shared" si="0"/>
        <v>0</v>
      </c>
    </row>
    <row r="18" spans="1:12">
      <c r="A18" s="11">
        <v>14</v>
      </c>
      <c r="E18">
        <v>10</v>
      </c>
      <c r="L18" s="4">
        <f t="shared" si="0"/>
        <v>10</v>
      </c>
    </row>
    <row r="19" spans="1:12">
      <c r="A19" s="11">
        <v>15</v>
      </c>
      <c r="L19" s="4">
        <f t="shared" si="0"/>
        <v>0</v>
      </c>
    </row>
    <row r="20" spans="1:12">
      <c r="A20" s="11">
        <v>16</v>
      </c>
      <c r="C20">
        <v>15</v>
      </c>
      <c r="L20" s="4">
        <f t="shared" si="0"/>
        <v>15</v>
      </c>
    </row>
    <row r="21" spans="1:12">
      <c r="A21" s="11">
        <v>17</v>
      </c>
      <c r="D21">
        <v>30</v>
      </c>
      <c r="G21">
        <v>5</v>
      </c>
      <c r="L21" s="4">
        <f t="shared" si="0"/>
        <v>35</v>
      </c>
    </row>
    <row r="22" spans="1:12">
      <c r="A22" s="11">
        <v>18</v>
      </c>
      <c r="E22">
        <v>5</v>
      </c>
      <c r="L22" s="4">
        <f t="shared" si="0"/>
        <v>5</v>
      </c>
    </row>
    <row r="23" spans="1:12">
      <c r="A23" s="11">
        <v>19</v>
      </c>
      <c r="G23">
        <v>10</v>
      </c>
      <c r="I23">
        <v>12</v>
      </c>
      <c r="L23" s="4">
        <f t="shared" si="0"/>
        <v>22</v>
      </c>
    </row>
    <row r="24" spans="1:12">
      <c r="A24" s="11">
        <v>20</v>
      </c>
      <c r="L24" s="4">
        <f t="shared" si="0"/>
        <v>0</v>
      </c>
    </row>
    <row r="25" spans="1:12">
      <c r="A25" s="11">
        <v>21</v>
      </c>
      <c r="L25" s="4">
        <f t="shared" si="0"/>
        <v>0</v>
      </c>
    </row>
    <row r="26" spans="1:12">
      <c r="A26" s="11">
        <v>22</v>
      </c>
      <c r="G26">
        <v>133</v>
      </c>
      <c r="L26" s="4">
        <f t="shared" si="0"/>
        <v>133</v>
      </c>
    </row>
    <row r="27" spans="1:12">
      <c r="A27" s="11">
        <v>23</v>
      </c>
      <c r="G27">
        <v>300</v>
      </c>
      <c r="L27" s="4">
        <f t="shared" si="0"/>
        <v>300</v>
      </c>
    </row>
    <row r="28" spans="1:12">
      <c r="A28" s="11">
        <v>24</v>
      </c>
      <c r="L28" s="4">
        <f t="shared" si="0"/>
        <v>0</v>
      </c>
    </row>
    <row r="29" spans="1:12">
      <c r="A29" s="11">
        <v>25</v>
      </c>
      <c r="E29">
        <v>10</v>
      </c>
      <c r="L29" s="4">
        <f t="shared" si="0"/>
        <v>10</v>
      </c>
    </row>
    <row r="30" spans="1:12">
      <c r="A30" s="11">
        <v>26</v>
      </c>
      <c r="E30">
        <v>10</v>
      </c>
      <c r="L30" s="4">
        <f t="shared" si="0"/>
        <v>10</v>
      </c>
    </row>
    <row r="31" spans="1:12">
      <c r="A31" s="11">
        <v>27</v>
      </c>
      <c r="C31">
        <v>27</v>
      </c>
      <c r="F31">
        <v>87</v>
      </c>
      <c r="L31" s="4">
        <f t="shared" si="0"/>
        <v>114</v>
      </c>
    </row>
    <row r="32" spans="1:12">
      <c r="A32" s="11">
        <v>28</v>
      </c>
      <c r="E32">
        <v>50</v>
      </c>
      <c r="L32" s="4">
        <f t="shared" si="0"/>
        <v>50</v>
      </c>
    </row>
    <row r="33" spans="1:12">
      <c r="A33" s="11">
        <v>29</v>
      </c>
      <c r="G33">
        <v>5</v>
      </c>
      <c r="L33" s="4">
        <f t="shared" si="0"/>
        <v>5</v>
      </c>
    </row>
    <row r="34" spans="1:12">
      <c r="A34" s="11">
        <v>30</v>
      </c>
      <c r="C34">
        <f>38</f>
        <v>38</v>
      </c>
      <c r="G34">
        <f>46</f>
        <v>46</v>
      </c>
      <c r="L34" s="4">
        <f t="shared" si="0"/>
        <v>84</v>
      </c>
    </row>
    <row r="35" spans="1:12">
      <c r="A35" s="11">
        <v>31</v>
      </c>
      <c r="L35" s="4">
        <f t="shared" si="0"/>
        <v>0</v>
      </c>
    </row>
    <row r="36" spans="1:12">
      <c r="A36" s="4" t="s">
        <v>4</v>
      </c>
      <c r="B36" s="4">
        <f t="shared" ref="B36:L36" si="1">SUM(B5:B35)</f>
        <v>0</v>
      </c>
      <c r="C36" s="4">
        <f t="shared" si="1"/>
        <v>133</v>
      </c>
      <c r="D36" s="4">
        <f t="shared" si="1"/>
        <v>81</v>
      </c>
      <c r="E36" s="4">
        <f t="shared" si="1"/>
        <v>135</v>
      </c>
      <c r="F36" s="4">
        <f t="shared" si="1"/>
        <v>265</v>
      </c>
      <c r="G36" s="4">
        <f t="shared" si="1"/>
        <v>524</v>
      </c>
      <c r="H36" s="4">
        <f t="shared" si="1"/>
        <v>19</v>
      </c>
      <c r="I36" s="4">
        <f t="shared" si="1"/>
        <v>12</v>
      </c>
      <c r="J36" s="4">
        <f t="shared" si="1"/>
        <v>0</v>
      </c>
      <c r="K36" s="4">
        <f t="shared" si="1"/>
        <v>0</v>
      </c>
      <c r="L36" s="4">
        <f t="shared" si="1"/>
        <v>1169</v>
      </c>
    </row>
    <row r="38" spans="1:12" ht="18">
      <c r="D38" s="13" t="s">
        <v>30</v>
      </c>
      <c r="F38" s="13" t="s">
        <v>37</v>
      </c>
      <c r="H38" s="13" t="s">
        <v>36</v>
      </c>
    </row>
  </sheetData>
  <phoneticPr fontId="1" type="noConversion"/>
  <hyperlinks>
    <hyperlink ref="D38" location="Einnahmen!A1" display="Einnahmen"/>
    <hyperlink ref="F38" location="Übersicht!A1" display="Übersicht"/>
    <hyperlink ref="H38" location="Monatliche_Ausgaben!A1" display="Monatliche Ausgaben"/>
  </hyperlinks>
  <pageMargins left="0.75" right="0.75" top="1" bottom="1" header="0.4921259845" footer="0.4921259845"/>
  <headerFooter alignWithMargins="0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Tabelle117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>
  <sheetPr codeName="Tabelle4"/>
  <dimension ref="A1:B28"/>
  <sheetViews>
    <sheetView workbookViewId="0">
      <selection activeCell="C13" sqref="C13"/>
    </sheetView>
  </sheetViews>
  <sheetFormatPr defaultColWidth="11.42578125" defaultRowHeight="12.75"/>
  <sheetData>
    <row r="1" spans="1:2">
      <c r="A1" t="s">
        <v>7</v>
      </c>
      <c r="B1" t="s">
        <v>8</v>
      </c>
    </row>
    <row r="2" spans="1:2">
      <c r="A2" t="s">
        <v>6</v>
      </c>
      <c r="B2" t="s">
        <v>5</v>
      </c>
    </row>
    <row r="3" spans="1:2">
      <c r="A3" t="s">
        <v>35</v>
      </c>
      <c r="B3" t="s">
        <v>36</v>
      </c>
    </row>
    <row r="4" spans="1:2">
      <c r="A4" t="s">
        <v>28</v>
      </c>
      <c r="B4" t="s">
        <v>30</v>
      </c>
    </row>
    <row r="5" spans="1:2">
      <c r="A5" t="s">
        <v>9</v>
      </c>
      <c r="B5" t="s">
        <v>4</v>
      </c>
    </row>
    <row r="6" spans="1:2">
      <c r="A6" t="s">
        <v>34</v>
      </c>
      <c r="B6">
        <v>2</v>
      </c>
    </row>
    <row r="7" spans="1:2">
      <c r="A7" t="s">
        <v>10</v>
      </c>
      <c r="B7">
        <v>4</v>
      </c>
    </row>
    <row r="8" spans="1:2">
      <c r="A8" t="s">
        <v>11</v>
      </c>
      <c r="B8">
        <v>46</v>
      </c>
    </row>
    <row r="9" spans="1:2">
      <c r="A9" t="s">
        <v>31</v>
      </c>
      <c r="B9">
        <v>4</v>
      </c>
    </row>
    <row r="10" spans="1:2">
      <c r="A10" t="s">
        <v>12</v>
      </c>
      <c r="B10" t="s">
        <v>12</v>
      </c>
    </row>
    <row r="11" spans="1:2">
      <c r="A11" t="s">
        <v>13</v>
      </c>
      <c r="B11" t="s">
        <v>13</v>
      </c>
    </row>
    <row r="12" spans="1:2">
      <c r="A12" t="s">
        <v>14</v>
      </c>
      <c r="B12" t="s">
        <v>14</v>
      </c>
    </row>
    <row r="13" spans="1:2">
      <c r="A13" t="s">
        <v>0</v>
      </c>
      <c r="B13" t="s">
        <v>0</v>
      </c>
    </row>
    <row r="14" spans="1:2">
      <c r="A14" t="s">
        <v>15</v>
      </c>
      <c r="B14" t="s">
        <v>15</v>
      </c>
    </row>
    <row r="15" spans="1:2">
      <c r="A15" t="s">
        <v>16</v>
      </c>
      <c r="B15" t="s">
        <v>16</v>
      </c>
    </row>
    <row r="16" spans="1:2">
      <c r="A16" t="s">
        <v>17</v>
      </c>
      <c r="B16" t="s">
        <v>17</v>
      </c>
    </row>
    <row r="17" spans="1:2">
      <c r="A17" t="s">
        <v>1</v>
      </c>
      <c r="B17" t="s">
        <v>1</v>
      </c>
    </row>
    <row r="18" spans="1:2">
      <c r="A18" t="s">
        <v>2</v>
      </c>
      <c r="B18" t="s">
        <v>2</v>
      </c>
    </row>
    <row r="19" spans="1:2">
      <c r="A19" t="s">
        <v>18</v>
      </c>
      <c r="B19" t="s">
        <v>18</v>
      </c>
    </row>
    <row r="20" spans="1:2">
      <c r="A20" t="s">
        <v>3</v>
      </c>
      <c r="B20" t="s">
        <v>3</v>
      </c>
    </row>
    <row r="21" spans="1:2">
      <c r="A21" t="s">
        <v>19</v>
      </c>
      <c r="B21" t="s">
        <v>19</v>
      </c>
    </row>
    <row r="22" spans="1:2">
      <c r="A22" t="s">
        <v>24</v>
      </c>
      <c r="B22" t="s">
        <v>25</v>
      </c>
    </row>
    <row r="23" spans="1:2">
      <c r="A23" t="s">
        <v>20</v>
      </c>
      <c r="B23" t="s">
        <v>21</v>
      </c>
    </row>
    <row r="24" spans="1:2">
      <c r="A24" t="s">
        <v>22</v>
      </c>
      <c r="B24" t="s">
        <v>23</v>
      </c>
    </row>
    <row r="25" spans="1:2">
      <c r="A25" t="s">
        <v>32</v>
      </c>
      <c r="B25" t="s">
        <v>33</v>
      </c>
    </row>
    <row r="26" spans="1:2">
      <c r="A26" t="s">
        <v>26</v>
      </c>
      <c r="B26" t="s">
        <v>37</v>
      </c>
    </row>
    <row r="27" spans="1:2">
      <c r="A27" t="s">
        <v>27</v>
      </c>
      <c r="B27" t="s">
        <v>30</v>
      </c>
    </row>
    <row r="28" spans="1:2">
      <c r="A28" t="s">
        <v>29</v>
      </c>
      <c r="B28" t="s">
        <v>38</v>
      </c>
    </row>
  </sheetData>
  <phoneticPr fontId="1" type="noConversion"/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Tabelle118"/>
  <dimension ref="A1:D11"/>
  <sheetViews>
    <sheetView workbookViewId="0"/>
  </sheetViews>
  <sheetFormatPr defaultColWidth="11.42578125" defaultRowHeight="12.75"/>
  <cols>
    <col min="1" max="1" width="3.42578125" bestFit="1" customWidth="1"/>
    <col min="2" max="2" width="11.5703125" bestFit="1" customWidth="1"/>
    <col min="3" max="3" width="48.140625" bestFit="1" customWidth="1"/>
    <col min="4" max="4" width="7" bestFit="1" customWidth="1"/>
  </cols>
  <sheetData>
    <row r="1" spans="1:4">
      <c r="A1" s="10" t="s">
        <v>39</v>
      </c>
      <c r="B1" s="10" t="s">
        <v>40</v>
      </c>
      <c r="C1" s="10" t="s">
        <v>41</v>
      </c>
      <c r="D1" s="10" t="s">
        <v>42</v>
      </c>
    </row>
    <row r="2" spans="1:4">
      <c r="A2" s="10" t="s">
        <v>43</v>
      </c>
      <c r="B2" s="10" t="s">
        <v>44</v>
      </c>
      <c r="C2" s="10" t="s">
        <v>45</v>
      </c>
      <c r="D2" s="10" t="s">
        <v>46</v>
      </c>
    </row>
    <row r="3" spans="1:4">
      <c r="A3" s="10" t="s">
        <v>47</v>
      </c>
      <c r="B3" s="10" t="s">
        <v>48</v>
      </c>
      <c r="C3" s="10" t="s">
        <v>49</v>
      </c>
      <c r="D3" s="10" t="s">
        <v>46</v>
      </c>
    </row>
    <row r="4" spans="1:4">
      <c r="A4" s="10" t="s">
        <v>50</v>
      </c>
      <c r="B4" s="10" t="s">
        <v>51</v>
      </c>
      <c r="C4" s="10" t="s">
        <v>52</v>
      </c>
      <c r="D4" s="10" t="s">
        <v>46</v>
      </c>
    </row>
    <row r="5" spans="1:4">
      <c r="A5" s="10" t="s">
        <v>53</v>
      </c>
      <c r="B5" s="10" t="s">
        <v>54</v>
      </c>
      <c r="C5" s="10" t="s">
        <v>55</v>
      </c>
      <c r="D5" s="10" t="s">
        <v>46</v>
      </c>
    </row>
    <row r="6" spans="1:4">
      <c r="A6" s="10" t="s">
        <v>56</v>
      </c>
      <c r="B6" s="10" t="s">
        <v>57</v>
      </c>
      <c r="C6" s="10" t="s">
        <v>58</v>
      </c>
      <c r="D6" s="10" t="s">
        <v>46</v>
      </c>
    </row>
    <row r="7" spans="1:4">
      <c r="A7" s="10" t="s">
        <v>59</v>
      </c>
      <c r="B7" s="10" t="s">
        <v>60</v>
      </c>
      <c r="C7" s="10" t="s">
        <v>61</v>
      </c>
      <c r="D7" s="10" t="s">
        <v>46</v>
      </c>
    </row>
    <row r="8" spans="1:4">
      <c r="A8" s="10" t="s">
        <v>62</v>
      </c>
      <c r="B8" s="10" t="s">
        <v>63</v>
      </c>
      <c r="C8" s="10" t="s">
        <v>64</v>
      </c>
      <c r="D8" s="10" t="s">
        <v>46</v>
      </c>
    </row>
    <row r="9" spans="1:4">
      <c r="A9" s="10" t="s">
        <v>65</v>
      </c>
      <c r="B9" s="10" t="s">
        <v>66</v>
      </c>
      <c r="C9" s="10" t="s">
        <v>67</v>
      </c>
      <c r="D9" s="10" t="s">
        <v>46</v>
      </c>
    </row>
    <row r="10" spans="1:4">
      <c r="A10" s="10" t="s">
        <v>68</v>
      </c>
      <c r="B10" s="10" t="s">
        <v>69</v>
      </c>
      <c r="C10" s="10" t="s">
        <v>69</v>
      </c>
      <c r="D10" s="10" t="s">
        <v>46</v>
      </c>
    </row>
    <row r="11" spans="1:4">
      <c r="A11" s="10" t="s">
        <v>70</v>
      </c>
      <c r="B11" s="10" t="s">
        <v>71</v>
      </c>
      <c r="C11" s="10" t="s">
        <v>71</v>
      </c>
      <c r="D11" s="10" t="s">
        <v>46</v>
      </c>
    </row>
  </sheetData>
  <sheetProtection sheet="1" objects="1" scenarios="1"/>
  <phoneticPr fontId="1" type="noConversion"/>
  <pageMargins left="0.75" right="0.75" top="1" bottom="1" header="0.4921259845" footer="0.492125984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>
  <sheetPr codeName="Tabelle1"/>
  <dimension ref="A1:E29"/>
  <sheetViews>
    <sheetView workbookViewId="0"/>
  </sheetViews>
  <sheetFormatPr defaultColWidth="11.42578125" defaultRowHeight="12.75"/>
  <cols>
    <col min="1" max="1" width="3.42578125" bestFit="1" customWidth="1"/>
    <col min="2" max="2" width="11.85546875" bestFit="1" customWidth="1"/>
    <col min="3" max="3" width="7.140625" bestFit="1" customWidth="1"/>
    <col min="4" max="4" width="16.85546875" bestFit="1" customWidth="1"/>
    <col min="5" max="5" width="17" bestFit="1" customWidth="1"/>
  </cols>
  <sheetData>
    <row r="1" spans="1:5">
      <c r="A1" s="10" t="s">
        <v>39</v>
      </c>
      <c r="B1" s="10" t="s">
        <v>72</v>
      </c>
      <c r="C1" s="10" t="s">
        <v>73</v>
      </c>
      <c r="D1" s="10" t="s">
        <v>74</v>
      </c>
      <c r="E1" s="10" t="s">
        <v>75</v>
      </c>
    </row>
    <row r="2" spans="1:5">
      <c r="A2" s="10" t="s">
        <v>43</v>
      </c>
      <c r="B2" s="10" t="s">
        <v>76</v>
      </c>
      <c r="C2" s="10" t="s">
        <v>77</v>
      </c>
      <c r="D2" s="10" t="s">
        <v>78</v>
      </c>
      <c r="E2" s="10" t="s">
        <v>59</v>
      </c>
    </row>
    <row r="3" spans="1:5">
      <c r="A3" s="10" t="s">
        <v>47</v>
      </c>
      <c r="B3" s="10" t="s">
        <v>79</v>
      </c>
      <c r="C3" s="10" t="s">
        <v>56</v>
      </c>
      <c r="E3" s="10" t="s">
        <v>53</v>
      </c>
    </row>
    <row r="4" spans="1:5">
      <c r="A4" s="10" t="s">
        <v>50</v>
      </c>
      <c r="B4" s="10" t="s">
        <v>80</v>
      </c>
      <c r="C4" s="10" t="s">
        <v>68</v>
      </c>
      <c r="E4" s="10" t="s">
        <v>47</v>
      </c>
    </row>
    <row r="5" spans="1:5">
      <c r="A5" s="10" t="s">
        <v>53</v>
      </c>
      <c r="B5" s="10" t="s">
        <v>80</v>
      </c>
      <c r="C5" s="10" t="s">
        <v>81</v>
      </c>
      <c r="E5" s="10" t="s">
        <v>47</v>
      </c>
    </row>
    <row r="6" spans="1:5">
      <c r="A6" s="10" t="s">
        <v>56</v>
      </c>
      <c r="B6" s="10" t="s">
        <v>80</v>
      </c>
      <c r="C6" s="10" t="s">
        <v>82</v>
      </c>
      <c r="E6" s="10" t="s">
        <v>47</v>
      </c>
    </row>
    <row r="7" spans="1:5">
      <c r="A7" s="10" t="s">
        <v>59</v>
      </c>
      <c r="B7" s="10" t="s">
        <v>80</v>
      </c>
      <c r="C7" s="10" t="s">
        <v>68</v>
      </c>
      <c r="E7" s="10" t="s">
        <v>59</v>
      </c>
    </row>
    <row r="8" spans="1:5">
      <c r="A8" s="10" t="s">
        <v>62</v>
      </c>
      <c r="B8" s="10" t="s">
        <v>80</v>
      </c>
      <c r="C8" s="10" t="s">
        <v>83</v>
      </c>
      <c r="E8" s="10" t="s">
        <v>59</v>
      </c>
    </row>
    <row r="9" spans="1:5">
      <c r="A9" s="10" t="s">
        <v>65</v>
      </c>
      <c r="B9" s="10" t="s">
        <v>84</v>
      </c>
      <c r="C9" s="10" t="s">
        <v>68</v>
      </c>
      <c r="E9" s="10" t="s">
        <v>59</v>
      </c>
    </row>
    <row r="10" spans="1:5">
      <c r="A10" s="10" t="s">
        <v>68</v>
      </c>
      <c r="B10" s="10" t="s">
        <v>85</v>
      </c>
      <c r="C10" s="10" t="s">
        <v>56</v>
      </c>
      <c r="E10" s="10" t="s">
        <v>53</v>
      </c>
    </row>
    <row r="11" spans="1:5">
      <c r="A11" s="10" t="s">
        <v>70</v>
      </c>
      <c r="B11" s="10" t="s">
        <v>86</v>
      </c>
      <c r="C11" s="10" t="s">
        <v>87</v>
      </c>
      <c r="E11" s="10" t="s">
        <v>59</v>
      </c>
    </row>
    <row r="12" spans="1:5">
      <c r="A12" s="10" t="s">
        <v>82</v>
      </c>
      <c r="B12" s="10" t="s">
        <v>88</v>
      </c>
      <c r="C12" s="10" t="s">
        <v>89</v>
      </c>
      <c r="D12" s="10" t="s">
        <v>90</v>
      </c>
      <c r="E12" s="10" t="s">
        <v>56</v>
      </c>
    </row>
    <row r="13" spans="1:5">
      <c r="A13" s="10" t="s">
        <v>91</v>
      </c>
      <c r="B13" s="10" t="s">
        <v>92</v>
      </c>
      <c r="C13" s="10" t="s">
        <v>68</v>
      </c>
      <c r="D13" s="10" t="s">
        <v>93</v>
      </c>
      <c r="E13" s="10" t="s">
        <v>62</v>
      </c>
    </row>
    <row r="14" spans="1:5">
      <c r="A14" s="10" t="s">
        <v>81</v>
      </c>
      <c r="B14" s="10" t="s">
        <v>88</v>
      </c>
      <c r="C14" s="10" t="s">
        <v>91</v>
      </c>
      <c r="E14" s="10" t="s">
        <v>47</v>
      </c>
    </row>
    <row r="15" spans="1:5">
      <c r="A15" s="10" t="s">
        <v>94</v>
      </c>
      <c r="B15" s="10" t="s">
        <v>95</v>
      </c>
      <c r="C15" s="10" t="s">
        <v>89</v>
      </c>
      <c r="E15" s="10" t="s">
        <v>53</v>
      </c>
    </row>
    <row r="16" spans="1:5">
      <c r="A16" s="10" t="s">
        <v>96</v>
      </c>
      <c r="B16" s="10" t="s">
        <v>97</v>
      </c>
      <c r="C16" s="10" t="s">
        <v>70</v>
      </c>
      <c r="E16" s="10" t="s">
        <v>53</v>
      </c>
    </row>
    <row r="17" spans="1:5">
      <c r="A17" s="10" t="s">
        <v>98</v>
      </c>
      <c r="B17" s="10" t="s">
        <v>97</v>
      </c>
      <c r="C17" s="10" t="s">
        <v>81</v>
      </c>
      <c r="D17" s="10" t="s">
        <v>99</v>
      </c>
      <c r="E17" s="10" t="s">
        <v>65</v>
      </c>
    </row>
    <row r="18" spans="1:5">
      <c r="A18" s="10" t="s">
        <v>100</v>
      </c>
      <c r="B18" s="10" t="s">
        <v>101</v>
      </c>
      <c r="C18" s="10" t="s">
        <v>56</v>
      </c>
      <c r="D18" s="10" t="s">
        <v>102</v>
      </c>
      <c r="E18" s="10" t="s">
        <v>47</v>
      </c>
    </row>
    <row r="19" spans="1:5">
      <c r="A19" s="10" t="s">
        <v>103</v>
      </c>
      <c r="B19" s="10" t="s">
        <v>101</v>
      </c>
      <c r="C19" s="10" t="s">
        <v>68</v>
      </c>
      <c r="E19" s="10" t="s">
        <v>59</v>
      </c>
    </row>
    <row r="20" spans="1:5">
      <c r="A20" s="10" t="s">
        <v>104</v>
      </c>
      <c r="B20" s="10" t="s">
        <v>101</v>
      </c>
      <c r="C20" s="10" t="s">
        <v>104</v>
      </c>
      <c r="E20" s="10" t="s">
        <v>47</v>
      </c>
    </row>
    <row r="21" spans="1:5">
      <c r="A21" s="10" t="s">
        <v>89</v>
      </c>
      <c r="B21" s="10" t="s">
        <v>105</v>
      </c>
      <c r="C21" s="10" t="s">
        <v>106</v>
      </c>
      <c r="E21" s="10" t="s">
        <v>59</v>
      </c>
    </row>
    <row r="22" spans="1:5">
      <c r="A22" s="10" t="s">
        <v>107</v>
      </c>
      <c r="B22" s="10" t="s">
        <v>108</v>
      </c>
      <c r="C22" s="10" t="s">
        <v>70</v>
      </c>
      <c r="E22" s="10" t="s">
        <v>53</v>
      </c>
    </row>
    <row r="23" spans="1:5">
      <c r="A23" s="10" t="s">
        <v>109</v>
      </c>
      <c r="B23" s="10" t="s">
        <v>110</v>
      </c>
      <c r="C23" s="10" t="s">
        <v>111</v>
      </c>
      <c r="D23" s="10" t="s">
        <v>112</v>
      </c>
      <c r="E23" s="10" t="s">
        <v>62</v>
      </c>
    </row>
    <row r="24" spans="1:5">
      <c r="A24" s="10" t="s">
        <v>113</v>
      </c>
      <c r="B24" s="10" t="s">
        <v>114</v>
      </c>
      <c r="C24" s="10" t="s">
        <v>70</v>
      </c>
      <c r="E24" s="10" t="s">
        <v>59</v>
      </c>
    </row>
    <row r="25" spans="1:5">
      <c r="A25" s="10" t="s">
        <v>115</v>
      </c>
      <c r="B25" s="10" t="s">
        <v>114</v>
      </c>
      <c r="C25" s="10" t="s">
        <v>53</v>
      </c>
      <c r="E25" s="10" t="s">
        <v>53</v>
      </c>
    </row>
    <row r="26" spans="1:5">
      <c r="A26" s="10" t="s">
        <v>106</v>
      </c>
      <c r="B26" s="10" t="s">
        <v>114</v>
      </c>
      <c r="C26" s="10" t="s">
        <v>89</v>
      </c>
      <c r="E26" s="10" t="s">
        <v>59</v>
      </c>
    </row>
    <row r="27" spans="1:5">
      <c r="A27" s="10" t="s">
        <v>111</v>
      </c>
      <c r="B27" s="10" t="s">
        <v>116</v>
      </c>
      <c r="C27" s="10" t="s">
        <v>89</v>
      </c>
      <c r="E27" s="10" t="s">
        <v>53</v>
      </c>
    </row>
    <row r="28" spans="1:5">
      <c r="A28" s="10" t="s">
        <v>117</v>
      </c>
      <c r="B28" s="10" t="s">
        <v>116</v>
      </c>
      <c r="C28" s="10" t="s">
        <v>87</v>
      </c>
      <c r="E28" s="10" t="s">
        <v>59</v>
      </c>
    </row>
    <row r="29" spans="1:5">
      <c r="A29" s="10" t="s">
        <v>118</v>
      </c>
      <c r="B29" s="10" t="s">
        <v>119</v>
      </c>
      <c r="C29" s="10" t="s">
        <v>89</v>
      </c>
      <c r="E29" s="10" t="s">
        <v>53</v>
      </c>
    </row>
  </sheetData>
  <phoneticPr fontId="1" type="noConversion"/>
  <pageMargins left="0.75" right="0.75" top="1" bottom="1" header="0.4921259845" footer="0.492125984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>
  <sheetPr codeName="Tabelle2"/>
  <dimension ref="A1:E35"/>
  <sheetViews>
    <sheetView workbookViewId="0"/>
  </sheetViews>
  <sheetFormatPr defaultColWidth="11.42578125" defaultRowHeight="12.75"/>
  <cols>
    <col min="1" max="1" width="3.42578125" bestFit="1" customWidth="1"/>
    <col min="2" max="2" width="11.85546875" bestFit="1" customWidth="1"/>
    <col min="3" max="3" width="7.140625" bestFit="1" customWidth="1"/>
    <col min="4" max="4" width="16.42578125" bestFit="1" customWidth="1"/>
    <col min="5" max="5" width="17" bestFit="1" customWidth="1"/>
  </cols>
  <sheetData>
    <row r="1" spans="1:5">
      <c r="A1" s="10" t="s">
        <v>39</v>
      </c>
      <c r="B1" s="10" t="s">
        <v>72</v>
      </c>
      <c r="C1" s="10" t="s">
        <v>73</v>
      </c>
      <c r="D1" s="10" t="s">
        <v>74</v>
      </c>
      <c r="E1" s="10" t="s">
        <v>75</v>
      </c>
    </row>
    <row r="2" spans="1:5">
      <c r="A2" s="10" t="s">
        <v>120</v>
      </c>
      <c r="B2" s="10" t="s">
        <v>121</v>
      </c>
      <c r="C2" s="10" t="s">
        <v>107</v>
      </c>
      <c r="D2" s="10" t="s">
        <v>122</v>
      </c>
      <c r="E2" s="10" t="s">
        <v>47</v>
      </c>
    </row>
    <row r="3" spans="1:5">
      <c r="A3" s="10" t="s">
        <v>123</v>
      </c>
      <c r="B3" s="10" t="s">
        <v>121</v>
      </c>
      <c r="C3" s="10" t="s">
        <v>50</v>
      </c>
      <c r="D3" s="10" t="s">
        <v>124</v>
      </c>
      <c r="E3" s="10" t="s">
        <v>56</v>
      </c>
    </row>
    <row r="4" spans="1:5">
      <c r="A4" s="10" t="s">
        <v>125</v>
      </c>
      <c r="B4" s="10" t="s">
        <v>121</v>
      </c>
      <c r="C4" s="10" t="s">
        <v>70</v>
      </c>
      <c r="E4" s="10" t="s">
        <v>59</v>
      </c>
    </row>
    <row r="5" spans="1:5">
      <c r="A5" s="10" t="s">
        <v>126</v>
      </c>
      <c r="B5" s="10" t="s">
        <v>121</v>
      </c>
      <c r="C5" s="10" t="s">
        <v>82</v>
      </c>
      <c r="D5" s="10" t="s">
        <v>102</v>
      </c>
      <c r="E5" s="10" t="s">
        <v>47</v>
      </c>
    </row>
    <row r="6" spans="1:5">
      <c r="A6" s="10" t="s">
        <v>127</v>
      </c>
      <c r="B6" s="10" t="s">
        <v>121</v>
      </c>
      <c r="C6" s="10" t="s">
        <v>59</v>
      </c>
      <c r="D6" s="10" t="s">
        <v>128</v>
      </c>
      <c r="E6" s="10" t="s">
        <v>47</v>
      </c>
    </row>
    <row r="7" spans="1:5">
      <c r="A7" s="10" t="s">
        <v>129</v>
      </c>
      <c r="B7" s="10" t="s">
        <v>130</v>
      </c>
      <c r="C7" s="10" t="s">
        <v>131</v>
      </c>
      <c r="D7" s="10" t="s">
        <v>132</v>
      </c>
      <c r="E7" s="10" t="s">
        <v>56</v>
      </c>
    </row>
    <row r="8" spans="1:5">
      <c r="A8" s="10" t="s">
        <v>133</v>
      </c>
      <c r="B8" s="10" t="s">
        <v>134</v>
      </c>
      <c r="C8" s="10" t="s">
        <v>70</v>
      </c>
      <c r="D8" s="10" t="s">
        <v>135</v>
      </c>
      <c r="E8" s="10" t="s">
        <v>62</v>
      </c>
    </row>
    <row r="9" spans="1:5">
      <c r="A9" s="10" t="s">
        <v>136</v>
      </c>
      <c r="B9" s="10" t="s">
        <v>134</v>
      </c>
      <c r="C9" s="10" t="s">
        <v>68</v>
      </c>
      <c r="D9" s="10" t="s">
        <v>137</v>
      </c>
      <c r="E9" s="10" t="s">
        <v>62</v>
      </c>
    </row>
    <row r="10" spans="1:5">
      <c r="A10" s="10" t="s">
        <v>138</v>
      </c>
      <c r="B10" s="10" t="s">
        <v>139</v>
      </c>
      <c r="C10" s="10" t="s">
        <v>56</v>
      </c>
      <c r="E10" s="10" t="s">
        <v>59</v>
      </c>
    </row>
    <row r="11" spans="1:5">
      <c r="A11" s="10" t="s">
        <v>140</v>
      </c>
      <c r="B11" s="10" t="s">
        <v>141</v>
      </c>
      <c r="C11" s="10" t="s">
        <v>70</v>
      </c>
      <c r="E11" s="10" t="s">
        <v>53</v>
      </c>
    </row>
    <row r="12" spans="1:5">
      <c r="A12" s="10" t="s">
        <v>142</v>
      </c>
      <c r="B12" s="10" t="s">
        <v>143</v>
      </c>
      <c r="C12" s="10" t="s">
        <v>89</v>
      </c>
      <c r="E12" s="10" t="s">
        <v>53</v>
      </c>
    </row>
    <row r="13" spans="1:5">
      <c r="A13" s="10" t="s">
        <v>83</v>
      </c>
      <c r="B13" s="10" t="s">
        <v>144</v>
      </c>
      <c r="C13" s="10" t="s">
        <v>145</v>
      </c>
      <c r="D13" s="10" t="s">
        <v>146</v>
      </c>
      <c r="E13" s="10" t="s">
        <v>50</v>
      </c>
    </row>
    <row r="14" spans="1:5">
      <c r="A14" s="10" t="s">
        <v>147</v>
      </c>
      <c r="B14" s="10" t="s">
        <v>144</v>
      </c>
      <c r="C14" s="10" t="s">
        <v>96</v>
      </c>
      <c r="D14" s="10" t="s">
        <v>102</v>
      </c>
      <c r="E14" s="10" t="s">
        <v>47</v>
      </c>
    </row>
    <row r="15" spans="1:5">
      <c r="A15" s="10" t="s">
        <v>148</v>
      </c>
      <c r="B15" s="10" t="s">
        <v>144</v>
      </c>
      <c r="C15" s="10" t="s">
        <v>70</v>
      </c>
      <c r="E15" s="10" t="s">
        <v>59</v>
      </c>
    </row>
    <row r="16" spans="1:5">
      <c r="A16" s="10" t="s">
        <v>149</v>
      </c>
      <c r="B16" s="10" t="s">
        <v>150</v>
      </c>
      <c r="C16" s="10" t="s">
        <v>89</v>
      </c>
      <c r="E16" s="10" t="s">
        <v>53</v>
      </c>
    </row>
    <row r="17" spans="1:5">
      <c r="A17" s="10" t="s">
        <v>151</v>
      </c>
      <c r="B17" s="10" t="s">
        <v>152</v>
      </c>
      <c r="C17" s="10" t="s">
        <v>70</v>
      </c>
      <c r="E17" s="10" t="s">
        <v>53</v>
      </c>
    </row>
    <row r="18" spans="1:5">
      <c r="A18" s="10" t="s">
        <v>153</v>
      </c>
      <c r="B18" s="10" t="s">
        <v>154</v>
      </c>
      <c r="C18" s="10" t="s">
        <v>96</v>
      </c>
      <c r="D18" s="10" t="s">
        <v>122</v>
      </c>
      <c r="E18" s="10" t="s">
        <v>47</v>
      </c>
    </row>
    <row r="19" spans="1:5">
      <c r="A19" s="10" t="s">
        <v>155</v>
      </c>
      <c r="B19" s="10" t="s">
        <v>156</v>
      </c>
      <c r="C19" s="10" t="s">
        <v>123</v>
      </c>
      <c r="D19" s="10" t="s">
        <v>146</v>
      </c>
      <c r="E19" s="10" t="s">
        <v>50</v>
      </c>
    </row>
    <row r="20" spans="1:5">
      <c r="A20" s="10" t="s">
        <v>77</v>
      </c>
      <c r="B20" s="10" t="s">
        <v>156</v>
      </c>
      <c r="C20" s="10" t="s">
        <v>56</v>
      </c>
      <c r="E20" s="10" t="s">
        <v>59</v>
      </c>
    </row>
    <row r="21" spans="1:5">
      <c r="A21" s="10" t="s">
        <v>157</v>
      </c>
      <c r="B21" s="10" t="s">
        <v>158</v>
      </c>
      <c r="C21" s="10" t="s">
        <v>56</v>
      </c>
      <c r="E21" s="10" t="s">
        <v>53</v>
      </c>
    </row>
    <row r="22" spans="1:5">
      <c r="A22" s="10" t="s">
        <v>159</v>
      </c>
      <c r="B22" s="10" t="s">
        <v>160</v>
      </c>
      <c r="C22" s="10" t="s">
        <v>91</v>
      </c>
      <c r="D22" s="10" t="s">
        <v>99</v>
      </c>
      <c r="E22" s="10" t="s">
        <v>65</v>
      </c>
    </row>
    <row r="23" spans="1:5">
      <c r="A23" s="10" t="s">
        <v>161</v>
      </c>
      <c r="B23" s="10" t="s">
        <v>160</v>
      </c>
      <c r="C23" s="10" t="s">
        <v>70</v>
      </c>
      <c r="D23" s="10" t="s">
        <v>162</v>
      </c>
      <c r="E23" s="10" t="s">
        <v>59</v>
      </c>
    </row>
    <row r="24" spans="1:5">
      <c r="A24" s="10" t="s">
        <v>145</v>
      </c>
      <c r="B24" s="10" t="s">
        <v>163</v>
      </c>
      <c r="C24" s="10" t="s">
        <v>70</v>
      </c>
      <c r="E24" s="10" t="s">
        <v>53</v>
      </c>
    </row>
    <row r="25" spans="1:5">
      <c r="A25" s="10" t="s">
        <v>164</v>
      </c>
      <c r="B25" s="10" t="s">
        <v>165</v>
      </c>
      <c r="C25" s="10" t="s">
        <v>70</v>
      </c>
      <c r="E25" s="10" t="s">
        <v>53</v>
      </c>
    </row>
    <row r="26" spans="1:5">
      <c r="A26" s="10" t="s">
        <v>166</v>
      </c>
      <c r="B26" s="10" t="s">
        <v>167</v>
      </c>
      <c r="C26" s="10" t="s">
        <v>168</v>
      </c>
      <c r="D26" s="10" t="s">
        <v>169</v>
      </c>
      <c r="E26" s="10" t="s">
        <v>59</v>
      </c>
    </row>
    <row r="27" spans="1:5">
      <c r="A27" s="10" t="s">
        <v>170</v>
      </c>
      <c r="B27" s="10" t="s">
        <v>171</v>
      </c>
      <c r="C27" s="10" t="s">
        <v>172</v>
      </c>
      <c r="D27" s="10" t="s">
        <v>173</v>
      </c>
      <c r="E27" s="10" t="s">
        <v>59</v>
      </c>
    </row>
    <row r="28" spans="1:5">
      <c r="A28" s="10" t="s">
        <v>174</v>
      </c>
      <c r="B28" s="10" t="s">
        <v>175</v>
      </c>
      <c r="C28" s="10" t="s">
        <v>117</v>
      </c>
      <c r="D28" s="10" t="s">
        <v>176</v>
      </c>
      <c r="E28" s="10" t="s">
        <v>47</v>
      </c>
    </row>
    <row r="29" spans="1:5">
      <c r="A29" s="10" t="s">
        <v>177</v>
      </c>
      <c r="B29" s="10" t="s">
        <v>175</v>
      </c>
      <c r="C29" s="10" t="s">
        <v>178</v>
      </c>
      <c r="D29" s="10" t="s">
        <v>179</v>
      </c>
      <c r="E29" s="10" t="s">
        <v>56</v>
      </c>
    </row>
    <row r="30" spans="1:5">
      <c r="A30" s="10" t="s">
        <v>180</v>
      </c>
      <c r="B30" s="10" t="s">
        <v>181</v>
      </c>
      <c r="C30" s="10" t="s">
        <v>161</v>
      </c>
      <c r="E30" s="10" t="s">
        <v>53</v>
      </c>
    </row>
    <row r="31" spans="1:5">
      <c r="A31" s="10" t="s">
        <v>182</v>
      </c>
      <c r="B31" s="10" t="s">
        <v>183</v>
      </c>
      <c r="C31" s="10" t="s">
        <v>56</v>
      </c>
      <c r="D31" s="10" t="s">
        <v>184</v>
      </c>
      <c r="E31" s="10" t="s">
        <v>59</v>
      </c>
    </row>
    <row r="32" spans="1:5">
      <c r="A32" s="10" t="s">
        <v>185</v>
      </c>
      <c r="B32" s="10" t="s">
        <v>186</v>
      </c>
      <c r="C32" s="10" t="s">
        <v>115</v>
      </c>
      <c r="D32" s="10" t="s">
        <v>122</v>
      </c>
      <c r="E32" s="10" t="s">
        <v>47</v>
      </c>
    </row>
    <row r="33" spans="1:5">
      <c r="A33" s="10" t="s">
        <v>187</v>
      </c>
      <c r="B33" s="10" t="s">
        <v>186</v>
      </c>
      <c r="C33" s="10" t="s">
        <v>94</v>
      </c>
      <c r="D33" s="10" t="s">
        <v>102</v>
      </c>
      <c r="E33" s="10" t="s">
        <v>47</v>
      </c>
    </row>
    <row r="34" spans="1:5">
      <c r="A34" s="10" t="s">
        <v>188</v>
      </c>
      <c r="B34" s="10" t="s">
        <v>186</v>
      </c>
      <c r="C34" s="10" t="s">
        <v>70</v>
      </c>
      <c r="E34" s="10" t="s">
        <v>59</v>
      </c>
    </row>
    <row r="35" spans="1:5">
      <c r="A35" s="10" t="s">
        <v>189</v>
      </c>
      <c r="B35" s="10" t="s">
        <v>186</v>
      </c>
      <c r="C35" s="10" t="s">
        <v>136</v>
      </c>
      <c r="E35" s="10" t="s">
        <v>59</v>
      </c>
    </row>
  </sheetData>
  <phoneticPr fontId="1" type="noConversion"/>
  <pageMargins left="0.75" right="0.75" top="1" bottom="1" header="0.4921259845" footer="0.492125984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3</vt:i4>
      </vt:variant>
    </vt:vector>
  </HeadingPairs>
  <TitlesOfParts>
    <vt:vector size="19" baseType="lpstr">
      <vt:lpstr>Übersicht</vt:lpstr>
      <vt:lpstr>Einnahmen</vt:lpstr>
      <vt:lpstr>Monatliche_Ausgaben</vt:lpstr>
      <vt:lpstr>January</vt:lpstr>
      <vt:lpstr>February</vt:lpstr>
      <vt:lpstr>March</vt:lpstr>
      <vt:lpstr>April</vt:lpstr>
      <vt:lpstr>May</vt:lpstr>
      <vt:lpstr>June</vt:lpstr>
      <vt:lpstr>July</vt:lpstr>
      <vt:lpstr>August</vt:lpstr>
      <vt:lpstr>September</vt:lpstr>
      <vt:lpstr>October</vt:lpstr>
      <vt:lpstr>November</vt:lpstr>
      <vt:lpstr>December</vt:lpstr>
      <vt:lpstr>Configuration</vt:lpstr>
      <vt:lpstr>'10'!ExterneDaten_13</vt:lpstr>
      <vt:lpstr>ExpenseCategories!ExterneDaten_2</vt:lpstr>
      <vt:lpstr>'09'!ExterneDaten_4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csimons</cp:lastModifiedBy>
  <dcterms:created xsi:type="dcterms:W3CDTF">2009-10-11T19:50:46Z</dcterms:created>
  <dcterms:modified xsi:type="dcterms:W3CDTF">2010-12-14T21:49:37Z</dcterms:modified>
</cp:coreProperties>
</file>